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226" codeName="{7A2D7E96-6E34-419A-AE5F-296B3A7E7977}"/>
  <workbookPr showInkAnnotation="0" codeName="ThisWorkbook" autoCompressPictures="0"/>
  <bookViews>
    <workbookView xWindow="10460" yWindow="3140" windowWidth="33680" windowHeight="22220" tabRatio="500"/>
  </bookViews>
  <sheets>
    <sheet name="Statistics" sheetId="1" r:id="rId1"/>
    <sheet name="Matrix" sheetId="3" state="hidden" r:id="rId2"/>
    <sheet name="Other" sheetId="6" state="hidden" r:id="rId3"/>
  </sheets>
  <definedNames>
    <definedName name="B__3rdventriclez_log">Matrix!$B$386:$B$399</definedName>
    <definedName name="B__4th_Ventricle">Matrix!$B$403:$B$414</definedName>
    <definedName name="B_Brain_Stem">Matrix!$B$95:$B$107</definedName>
    <definedName name="B_CCsum">Matrix!$B$418:$B$431</definedName>
    <definedName name="B_Left_Accumbens_area">Matrix!$B$33:$B$44</definedName>
    <definedName name="B_Left_Amygdala">Matrix!$B$63:$B$77</definedName>
    <definedName name="B_Left_Caudate">Matrix!$B$111:$B$123</definedName>
    <definedName name="B_Left_Hippocampus">Matrix!$B$145:$B$158</definedName>
    <definedName name="B_Left_Pallidum">Matrix!$B$177:$B$189</definedName>
    <definedName name="B_Left_Putamen">Matrix!$B$209:$B$222</definedName>
    <definedName name="B_Left_Thalamus_Proper">Matrix!$B$242:$B$255</definedName>
    <definedName name="B_Left_VentralDC">Matrix!$B$277:$B$289</definedName>
    <definedName name="B_LeftInfLatVent_log">Matrix!$B$351:$B$366</definedName>
    <definedName name="B_LeftLateralVentricle_log">Matrix!$B$325:$B$334</definedName>
    <definedName name="B_Right_Accumbens_area">Matrix!$B$48:$B$59</definedName>
    <definedName name="B_Right_Amygdala">Matrix!$B$81:$B$91</definedName>
    <definedName name="B_Right_Caudate">Matrix!$B$127:$B$141</definedName>
    <definedName name="B_Right_Hippocampus">Matrix!$B$162:$B$173</definedName>
    <definedName name="B_Right_Pallidum">Matrix!$B$193:$B$205</definedName>
    <definedName name="B_Right_Putamen">Matrix!$B$226:$B$238</definedName>
    <definedName name="B_Right_Thalamus_Proper">Matrix!$B$259:$B$273</definedName>
    <definedName name="B_Right_VentralDC">Matrix!$B$293:$B$306</definedName>
    <definedName name="B_RightInfLatVent_log">Matrix!$B$370:$B$382</definedName>
    <definedName name="B_RightLateralVentricle_log">Matrix!$B$338:$B$347</definedName>
    <definedName name="B_SubCortGrayVol">Matrix!$B$435:$B$447</definedName>
    <definedName name="B_ventricles_log">Matrix!$B$310:$B$321</definedName>
    <definedName name="f_3rd_Ventricle">Statistics!$B$33</definedName>
    <definedName name="f_4th_Ventricle">Statistics!$B$34</definedName>
    <definedName name="f_5th_Ventricle">Other!$B$31</definedName>
    <definedName name="f_Brain_Stem">Statistics!$B$15</definedName>
    <definedName name="f_CC_Anterior">Other!$B$36</definedName>
    <definedName name="f_CC_Central">Other!$B$34</definedName>
    <definedName name="f_CC_Mid_Anterior">Other!$B$35</definedName>
    <definedName name="f_CC_Mid_Posterior">Other!$B$33</definedName>
    <definedName name="f_CC_Posterior">Other!$B$32</definedName>
    <definedName name="f_Estimated_Total_Intracranial_Volume">Statistics!$J$6</definedName>
    <definedName name="f_Left_Accumbens_area">Statistics!$B$11</definedName>
    <definedName name="f_Left_Amygdala">Statistics!$B$13</definedName>
    <definedName name="f_Left_Caudate">Statistics!$B$16</definedName>
    <definedName name="f_Left_Hippocampus">Statistics!$B$18</definedName>
    <definedName name="f_Left_Inf_Lat_Vent">Statistics!$B$31</definedName>
    <definedName name="f_Left_Lateral_Ventricle">Statistics!$B$29</definedName>
    <definedName name="f_Left_Lateral_Ventricule">Statistics!$B$29</definedName>
    <definedName name="f_Left_Pallidum">Statistics!$B$20</definedName>
    <definedName name="f_Left_Putamen">Statistics!$B$22</definedName>
    <definedName name="f_Left_Thalamus_Proper">Statistics!$B$24</definedName>
    <definedName name="f_Left_VentralDC">Statistics!$B$26</definedName>
    <definedName name="f_Right_Accumbens_area">Statistics!$B$12</definedName>
    <definedName name="f_Right_Amygdala">Statistics!$B$14</definedName>
    <definedName name="f_Right_Caudate">Statistics!$B$17</definedName>
    <definedName name="f_Right_Hippocampus">Statistics!$B$19</definedName>
    <definedName name="f_Right_Inf_Lat_Vent">Statistics!$B$32</definedName>
    <definedName name="f_Right_Lateral_Ventricle">Statistics!$B$30</definedName>
    <definedName name="f_Right_Pallidum">Statistics!$B$21</definedName>
    <definedName name="f_Right_Putamen">Statistics!$B$23</definedName>
    <definedName name="f_Right_Thalamus_Proper">Statistics!$B$25</definedName>
    <definedName name="f_Right_VentralDC">Statistics!$B$27</definedName>
    <definedName name="f_Subcortical_gray_matter_volume">Statistics!$B$36</definedName>
    <definedName name="FDR">Other!$K$3:$K$28</definedName>
    <definedName name="fdr_regions">Other!$H$3:$H$28</definedName>
    <definedName name="fs_OBSERVED">Statistics!$B$9</definedName>
    <definedName name="fs_SUBJECT">Statistics!$B$10</definedName>
    <definedName name="Left_Caudate">Statistics!$B$16</definedName>
    <definedName name="Left_Inf_Lat_Vent">Statistics!$B$31</definedName>
    <definedName name="Left_Lateral_Ventricule">Statistics!$B$29</definedName>
    <definedName name="Left_Pallidum">Statistics!$B$20</definedName>
    <definedName name="Left_Putamen">Statistics!$B$22</definedName>
    <definedName name="Left_Thalamus_Proper">Statistics!$B$24</definedName>
    <definedName name="Left_VentralDC">Statistics!$B$26</definedName>
    <definedName name="M__3rdventriclez_log">Matrix!$C$386:$P$399</definedName>
    <definedName name="M__4th_Ventricle">Matrix!$C$403:$N$414</definedName>
    <definedName name="M_Brain_Stem">Matrix!$C$95:$O$107</definedName>
    <definedName name="M_CCsum">Matrix!$C$418:$P$431</definedName>
    <definedName name="M_Left_Accumbens_area">Matrix!$C$33:$N$44</definedName>
    <definedName name="M_Left_Amygdala">Matrix!$C$63:$Q$77</definedName>
    <definedName name="M_Left_Caudate">Matrix!$C$111:$O$123</definedName>
    <definedName name="M_Left_Hippocampus">Matrix!$C$145:$P$158</definedName>
    <definedName name="M_Left_Pallidum">Matrix!$C$177:$O$189</definedName>
    <definedName name="M_Left_Putamen">Matrix!$C$209:$P$222</definedName>
    <definedName name="M_Left_Thalamus_Proper">Matrix!$C$242:$P$255</definedName>
    <definedName name="M_Left_VentralDC">Matrix!$C$277:$O$289</definedName>
    <definedName name="M_LeftInfLatVent_log">Matrix!$C$351:$R$366</definedName>
    <definedName name="M_LeftLateralVentricle_log">Matrix!$C$325:$L$334</definedName>
    <definedName name="M_Right_Accumbens_area">Matrix!$C$48:$N$59</definedName>
    <definedName name="M_Right_Amygdala">Matrix!$C$81:$M$91</definedName>
    <definedName name="M_Right_Caudate">Matrix!$C$127:$Q$141</definedName>
    <definedName name="M_Right_Hippocampus">Matrix!$C$162:$N$173</definedName>
    <definedName name="M_Right_Pallidum">Matrix!$C$193:$O$205</definedName>
    <definedName name="M_Right_Putamen">Matrix!$C$226:$O$238</definedName>
    <definedName name="M_Right_Thalamus_Proper">Matrix!$C$259:$Q$273</definedName>
    <definedName name="M_Right_VentralDC">Matrix!$C$293:$P$306</definedName>
    <definedName name="M_RightInfLatVent_log">Matrix!$C$370:$O$382</definedName>
    <definedName name="M_RightLateralVentricle_log">Matrix!$C$338:$L$347</definedName>
    <definedName name="M_SubCortGrayVol">Matrix!$C$435:$O$447</definedName>
    <definedName name="m_subcortical">Matrix!$C$460:$O$472</definedName>
    <definedName name="M_ventricles_log">Matrix!$C$310:$N$321</definedName>
    <definedName name="MSE__3rdventriclez_log">Matrix!$D$25</definedName>
    <definedName name="MSE__4th_ventricle">Matrix!$D$26</definedName>
    <definedName name="MSE_brain_stem">Matrix!$D$7</definedName>
    <definedName name="MSE_CCsum">Matrix!$D$27</definedName>
    <definedName name="MSE_left_accumbens_area">Matrix!$D$3</definedName>
    <definedName name="MSE_left_amygdala">Matrix!$D$5</definedName>
    <definedName name="MSE_left_caudate">Matrix!$D$8</definedName>
    <definedName name="MSE_left_hippocampus">Matrix!$D$10</definedName>
    <definedName name="MSE_left_pallidum">Matrix!$D$12</definedName>
    <definedName name="MSE_left_putamen">Matrix!$D$14</definedName>
    <definedName name="MSE_left_thalamus_proper">Matrix!$D$16</definedName>
    <definedName name="MSE_left_ventraldc">Matrix!$D$18</definedName>
    <definedName name="MSE_LeftInfLatVent_log">Matrix!$D$23</definedName>
    <definedName name="MSE_LeftLateralVentricle_log">Matrix!$D$21</definedName>
    <definedName name="MSE_right_accumbens_area">Matrix!$D$4</definedName>
    <definedName name="MSE_right_amygdala">Matrix!$D$6</definedName>
    <definedName name="MSE_right_caudate">Matrix!$D$9</definedName>
    <definedName name="MSE_right_hippocampus">Matrix!$D$11</definedName>
    <definedName name="MSE_right_pallidum">Matrix!$D$13</definedName>
    <definedName name="MSE_right_putamen">Matrix!$D$15</definedName>
    <definedName name="MSE_right_thalamus_proper">Matrix!$D$17</definedName>
    <definedName name="MSE_right_ventraldc">Matrix!$D$19</definedName>
    <definedName name="MSE_RightInfLatVent_log">Matrix!$D$24</definedName>
    <definedName name="MSE_RightLateralVentricle_log">Matrix!$D$22</definedName>
    <definedName name="MSE_subcortgrayvol">Matrix!$D$28</definedName>
    <definedName name="MSE_ventricles_log">Matrix!$D$20</definedName>
    <definedName name="O_volumes">Statistics!$B$11:$B$36</definedName>
    <definedName name="one_tailed">Statistics!$G$11:$G$36</definedName>
    <definedName name="pred__3rdventriclez_log">Matrix!$C$385:$P$385</definedName>
    <definedName name="pred__4th_Ventricle">Matrix!$C$402:$N$402</definedName>
    <definedName name="pred_Brain_Stem">Matrix!$C$94:$O$94</definedName>
    <definedName name="pred_CCsum">Matrix!$C$417:$P$417</definedName>
    <definedName name="pred_Left_Accumbens_area">Matrix!$C$32:$N$32</definedName>
    <definedName name="pred_Left_Amygdala">Matrix!$C$62:$Q$62</definedName>
    <definedName name="pred_Left_Caudate">Matrix!$C$110:$O$110</definedName>
    <definedName name="pred_Left_Hippocampus">Matrix!$C$144:$P$144</definedName>
    <definedName name="pred_Left_Pallidum">Matrix!$C$176:$O$176</definedName>
    <definedName name="pred_Left_Putamen">Matrix!$C$208:$P$208</definedName>
    <definedName name="pred_Left_Thalamus_Proper">Matrix!$C$241:$P$241</definedName>
    <definedName name="pred_Left_VentralDC">Matrix!$C$276:$O$276</definedName>
    <definedName name="pred_LeftInfLatVent_log">Matrix!$C$350:$R$350</definedName>
    <definedName name="pred_LeftLateralVentricle_log">Matrix!$C$324:$L$324</definedName>
    <definedName name="pred_Right_Accumbens_area">Matrix!$C$47:$N$47</definedName>
    <definedName name="pred_Right_Amygdala">Matrix!$C$80:$M$80</definedName>
    <definedName name="pred_Right_Caudate">Matrix!$C$126:$Q$126</definedName>
    <definedName name="pred_Right_Hippocampus">Matrix!$C$161:$N$161</definedName>
    <definedName name="pred_Right_Pallidum">Matrix!$C$192:$O$192</definedName>
    <definedName name="pred_Right_Putamen">Matrix!$C$225:$O$225</definedName>
    <definedName name="pred_Right_Thalamus_Proper">Matrix!$C$258:$Q$258</definedName>
    <definedName name="pred_Right_VentralDC">Matrix!$C$292:$P$292</definedName>
    <definedName name="pred_RightInfLatVent_log">Matrix!$C$369:$O$369</definedName>
    <definedName name="pred_RightLateralVentricle_log">Matrix!$C$337:$L$337</definedName>
    <definedName name="pred_SubCortGrayVol">Matrix!$C$434:$O$434</definedName>
    <definedName name="pred_ventricles_log">Matrix!$C$309:$N$309</definedName>
    <definedName name="regions">Statistics!$A$11:$A$36</definedName>
    <definedName name="Subcortical_gray_matter_volume">Statistics!$B$36</definedName>
    <definedName name="t__3rdventriclez_log">Matrix!$B$25</definedName>
    <definedName name="t__4th_ventricle">Matrix!$B$26</definedName>
    <definedName name="t_brain_stem">Matrix!$B$7</definedName>
    <definedName name="t_CCsum">Matrix!$B$27</definedName>
    <definedName name="t_left_accumbens_area">Matrix!$B$3</definedName>
    <definedName name="t_left_amygdala">Matrix!$B$5</definedName>
    <definedName name="t_left_caudate">Matrix!$B$8</definedName>
    <definedName name="t_left_hippocampus">Matrix!$B$10</definedName>
    <definedName name="t_left_pallidum">Matrix!$B$12</definedName>
    <definedName name="t_left_putamen">Matrix!$B$14</definedName>
    <definedName name="t_left_thalamus_proper">Matrix!$B$16</definedName>
    <definedName name="t_left_ventraldc">Matrix!$B$18</definedName>
    <definedName name="t_LeftInfLatVent_log">Matrix!$B$23</definedName>
    <definedName name="t_LeftLateralVentricle_log">Matrix!$B$21</definedName>
    <definedName name="t_right_accumbens_area">Matrix!$B$4</definedName>
    <definedName name="t_right_amygdala">Matrix!$B$6</definedName>
    <definedName name="t_right_caudate">Matrix!$B$9</definedName>
    <definedName name="t_right_hippocampus">Matrix!$B$11</definedName>
    <definedName name="t_right_pallidum">Matrix!$B$13</definedName>
    <definedName name="t_right_putamen">Matrix!$B$15</definedName>
    <definedName name="t_right_thalamus_proper">Matrix!$B$17</definedName>
    <definedName name="t_right_ventraldc">Matrix!$B$19</definedName>
    <definedName name="t_RightInfLatVent_log">Matrix!$B$24</definedName>
    <definedName name="t_RightLateralVentricle_log">Matrix!$B$22</definedName>
    <definedName name="t_subcortgrayvol">Matrix!$B$28</definedName>
    <definedName name="t_ventricles_log">Matrix!$B$20</definedName>
    <definedName name="X__3rdventriclez_log">Matrix!$C$384:$P$384</definedName>
    <definedName name="X__4th_Ventricle">Matrix!$C$401:$N$401</definedName>
    <definedName name="X_Brain_Stem">Matrix!$C$93:$O$93</definedName>
    <definedName name="X_CCsum">Matrix!$C$416:$P$416</definedName>
    <definedName name="X_Left_Accumbens_area">Matrix!$C$31:$N$31</definedName>
    <definedName name="X_Left_Amygdala">Matrix!$C$61:$Q$61</definedName>
    <definedName name="X_Left_Caudate">Matrix!$C$109:$O$109</definedName>
    <definedName name="X_Left_Hippocampus">Matrix!$C$143:$P$143</definedName>
    <definedName name="X_Left_Pallidum">Matrix!$C$175:$O$175</definedName>
    <definedName name="X_Left_Putamen">Matrix!$C$207:$P$207</definedName>
    <definedName name="X_Left_Thalamus_Proper">Matrix!$C$240:$P$240</definedName>
    <definedName name="X_Left_VentralDC">Matrix!$C$275:$O$275</definedName>
    <definedName name="X_LeftInfLatVent_log">Matrix!$C$349:$R$349</definedName>
    <definedName name="X_LeftLateralVentricle_log">Matrix!$C$323:$L$323</definedName>
    <definedName name="X_Right_Accumbens_area">Matrix!$C$46:$N$46</definedName>
    <definedName name="X_Right_Amygdala">Matrix!$C$79:$M$79</definedName>
    <definedName name="X_Right_Caudate">Matrix!$C$125:$Q$125</definedName>
    <definedName name="X_Right_Hippocampus">Matrix!$C$160:$N$160</definedName>
    <definedName name="X_Right_Pallidum">Matrix!$C$191:$O$191</definedName>
    <definedName name="X_Right_Putamen">Matrix!$C$224:$O$224</definedName>
    <definedName name="X_Right_Thalamus_Proper">Matrix!$C$257:$Q$257</definedName>
    <definedName name="X_Right_VentralDC">Matrix!$C$291:$P$291</definedName>
    <definedName name="X_RightInfLatVent_log">Matrix!$C$368:$O$368</definedName>
    <definedName name="X_RightLateralVentricle_log">Matrix!$C$336:$L$336</definedName>
    <definedName name="X_SubCortGrayVol">Matrix!$C$433:$O$433</definedName>
    <definedName name="X_ventricles_log">Matrix!$C$308:$N$308</definedName>
  </definedNames>
  <calcPr calcId="140001" concurrentCalc="0"/>
  <extLst>
    <ext xmlns:mx="http://schemas.microsoft.com/office/mac/excel/2008/main" uri="{7523E5D3-25F3-A5E0-1632-64F254C22452}">
      <mx:ArchID Flags="2"/>
    </ex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F2" i="3" l="1"/>
  <c r="I2" i="3"/>
  <c r="S2" i="3"/>
  <c r="O433" i="3"/>
  <c r="O2" i="3"/>
  <c r="M2" i="3"/>
  <c r="Q2" i="3"/>
  <c r="N433" i="3"/>
  <c r="N2" i="3"/>
  <c r="P2" i="3"/>
  <c r="M433" i="3"/>
  <c r="L433" i="3"/>
  <c r="K433" i="3"/>
  <c r="J433" i="3"/>
  <c r="J2" i="3"/>
  <c r="K2" i="3"/>
  <c r="I433" i="3"/>
  <c r="H433" i="3"/>
  <c r="G433" i="3"/>
  <c r="H2" i="3"/>
  <c r="F433" i="3"/>
  <c r="G2" i="3"/>
  <c r="E433" i="3"/>
  <c r="D433" i="3"/>
  <c r="C433" i="3"/>
  <c r="U2" i="3"/>
  <c r="P416" i="3"/>
  <c r="T2" i="3"/>
  <c r="O416" i="3"/>
  <c r="R2" i="3"/>
  <c r="N416" i="3"/>
  <c r="M416" i="3"/>
  <c r="L416" i="3"/>
  <c r="K416" i="3"/>
  <c r="L2" i="3"/>
  <c r="J416" i="3"/>
  <c r="I416" i="3"/>
  <c r="H416" i="3"/>
  <c r="G416" i="3"/>
  <c r="F416" i="3"/>
  <c r="E416" i="3"/>
  <c r="D416" i="3"/>
  <c r="C416" i="3"/>
  <c r="N401" i="3"/>
  <c r="M401" i="3"/>
  <c r="L401" i="3"/>
  <c r="K401" i="3"/>
  <c r="J401" i="3"/>
  <c r="I401" i="3"/>
  <c r="H401" i="3"/>
  <c r="G401" i="3"/>
  <c r="F401" i="3"/>
  <c r="E401" i="3"/>
  <c r="D401" i="3"/>
  <c r="C401" i="3"/>
  <c r="P384" i="3"/>
  <c r="O384" i="3"/>
  <c r="N384" i="3"/>
  <c r="M384" i="3"/>
  <c r="L384" i="3"/>
  <c r="K384" i="3"/>
  <c r="J384" i="3"/>
  <c r="I384" i="3"/>
  <c r="H384" i="3"/>
  <c r="G384" i="3"/>
  <c r="F384" i="3"/>
  <c r="E384" i="3"/>
  <c r="D384" i="3"/>
  <c r="C384" i="3"/>
  <c r="O368" i="3"/>
  <c r="N368" i="3"/>
  <c r="M368" i="3"/>
  <c r="L368" i="3"/>
  <c r="K368" i="3"/>
  <c r="J368" i="3"/>
  <c r="I368" i="3"/>
  <c r="H368" i="3"/>
  <c r="G368" i="3"/>
  <c r="F368" i="3"/>
  <c r="E368" i="3"/>
  <c r="D368" i="3"/>
  <c r="C368" i="3"/>
  <c r="R349" i="3"/>
  <c r="Q349" i="3"/>
  <c r="P349" i="3"/>
  <c r="O349" i="3"/>
  <c r="N349" i="3"/>
  <c r="M349" i="3"/>
  <c r="L349" i="3"/>
  <c r="K349" i="3"/>
  <c r="J349" i="3"/>
  <c r="I349" i="3"/>
  <c r="H349" i="3"/>
  <c r="G349" i="3"/>
  <c r="F349" i="3"/>
  <c r="E349" i="3"/>
  <c r="D349" i="3"/>
  <c r="C349" i="3"/>
  <c r="L336" i="3"/>
  <c r="K336" i="3"/>
  <c r="J336" i="3"/>
  <c r="I336" i="3"/>
  <c r="H336" i="3"/>
  <c r="G336" i="3"/>
  <c r="F336" i="3"/>
  <c r="E336" i="3"/>
  <c r="D336" i="3"/>
  <c r="C336" i="3"/>
  <c r="L323" i="3"/>
  <c r="K323" i="3"/>
  <c r="J323" i="3"/>
  <c r="I323" i="3"/>
  <c r="H323" i="3"/>
  <c r="G323" i="3"/>
  <c r="F323" i="3"/>
  <c r="E323" i="3"/>
  <c r="D323" i="3"/>
  <c r="C323" i="3"/>
  <c r="N308" i="3"/>
  <c r="M308" i="3"/>
  <c r="L308" i="3"/>
  <c r="K308" i="3"/>
  <c r="J308" i="3"/>
  <c r="I308" i="3"/>
  <c r="H308" i="3"/>
  <c r="G308" i="3"/>
  <c r="F308" i="3"/>
  <c r="E308" i="3"/>
  <c r="D308" i="3"/>
  <c r="C308" i="3"/>
  <c r="P291" i="3"/>
  <c r="O291" i="3"/>
  <c r="N291" i="3"/>
  <c r="M291" i="3"/>
  <c r="L291" i="3"/>
  <c r="K291" i="3"/>
  <c r="J291" i="3"/>
  <c r="I291" i="3"/>
  <c r="H291" i="3"/>
  <c r="G291" i="3"/>
  <c r="F291" i="3"/>
  <c r="E291" i="3"/>
  <c r="D291" i="3"/>
  <c r="C291" i="3"/>
  <c r="O275" i="3"/>
  <c r="N275" i="3"/>
  <c r="M275" i="3"/>
  <c r="L275" i="3"/>
  <c r="K275" i="3"/>
  <c r="J275" i="3"/>
  <c r="I275" i="3"/>
  <c r="H275" i="3"/>
  <c r="G275" i="3"/>
  <c r="F275" i="3"/>
  <c r="E275" i="3"/>
  <c r="D275" i="3"/>
  <c r="C275" i="3"/>
  <c r="Q257" i="3"/>
  <c r="P257" i="3"/>
  <c r="O257" i="3"/>
  <c r="N257" i="3"/>
  <c r="M257" i="3"/>
  <c r="L257" i="3"/>
  <c r="K257" i="3"/>
  <c r="J257" i="3"/>
  <c r="I257" i="3"/>
  <c r="H257" i="3"/>
  <c r="G257" i="3"/>
  <c r="F257" i="3"/>
  <c r="E257" i="3"/>
  <c r="D257" i="3"/>
  <c r="C257" i="3"/>
  <c r="P240" i="3"/>
  <c r="O240" i="3"/>
  <c r="N240" i="3"/>
  <c r="M240" i="3"/>
  <c r="L240" i="3"/>
  <c r="K240" i="3"/>
  <c r="J240" i="3"/>
  <c r="I240" i="3"/>
  <c r="H240" i="3"/>
  <c r="G240" i="3"/>
  <c r="F240" i="3"/>
  <c r="E240" i="3"/>
  <c r="D240" i="3"/>
  <c r="C240" i="3"/>
  <c r="O224" i="3"/>
  <c r="N224" i="3"/>
  <c r="M224" i="3"/>
  <c r="L224" i="3"/>
  <c r="K224" i="3"/>
  <c r="J224" i="3"/>
  <c r="I224" i="3"/>
  <c r="H224" i="3"/>
  <c r="G224" i="3"/>
  <c r="F224" i="3"/>
  <c r="E224" i="3"/>
  <c r="D224" i="3"/>
  <c r="C224" i="3"/>
  <c r="P207" i="3"/>
  <c r="O207" i="3"/>
  <c r="N207" i="3"/>
  <c r="M207" i="3"/>
  <c r="L207" i="3"/>
  <c r="K207" i="3"/>
  <c r="J207" i="3"/>
  <c r="I207" i="3"/>
  <c r="H207" i="3"/>
  <c r="G207" i="3"/>
  <c r="F207" i="3"/>
  <c r="E207" i="3"/>
  <c r="D207" i="3"/>
  <c r="C207" i="3"/>
  <c r="O191" i="3"/>
  <c r="N191" i="3"/>
  <c r="M191" i="3"/>
  <c r="L191" i="3"/>
  <c r="K191" i="3"/>
  <c r="J191" i="3"/>
  <c r="I191" i="3"/>
  <c r="H191" i="3"/>
  <c r="G191" i="3"/>
  <c r="F191" i="3"/>
  <c r="E191" i="3"/>
  <c r="D191" i="3"/>
  <c r="C191" i="3"/>
  <c r="O175" i="3"/>
  <c r="N175" i="3"/>
  <c r="M175" i="3"/>
  <c r="L175" i="3"/>
  <c r="K175" i="3"/>
  <c r="J175" i="3"/>
  <c r="I175" i="3"/>
  <c r="H175" i="3"/>
  <c r="G175" i="3"/>
  <c r="F175" i="3"/>
  <c r="E175" i="3"/>
  <c r="D175" i="3"/>
  <c r="C175" i="3"/>
  <c r="N160" i="3"/>
  <c r="M160" i="3"/>
  <c r="L160" i="3"/>
  <c r="K160" i="3"/>
  <c r="J160" i="3"/>
  <c r="I160" i="3"/>
  <c r="H160" i="3"/>
  <c r="G160" i="3"/>
  <c r="F160" i="3"/>
  <c r="E160" i="3"/>
  <c r="D160" i="3"/>
  <c r="C160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D143" i="3"/>
  <c r="C143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M79" i="3"/>
  <c r="L79" i="3"/>
  <c r="K79" i="3"/>
  <c r="J79" i="3"/>
  <c r="I79" i="3"/>
  <c r="H79" i="3"/>
  <c r="G79" i="3"/>
  <c r="F79" i="3"/>
  <c r="E79" i="3"/>
  <c r="D79" i="3"/>
  <c r="C79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N46" i="3"/>
  <c r="M46" i="3"/>
  <c r="L46" i="3"/>
  <c r="K46" i="3"/>
  <c r="J46" i="3"/>
  <c r="I46" i="3"/>
  <c r="H46" i="3"/>
  <c r="G46" i="3"/>
  <c r="F46" i="3"/>
  <c r="E46" i="3"/>
  <c r="D46" i="3"/>
  <c r="C46" i="3"/>
  <c r="N31" i="3"/>
  <c r="M31" i="3"/>
  <c r="L31" i="3"/>
  <c r="K31" i="3"/>
  <c r="J31" i="3"/>
  <c r="I31" i="3"/>
  <c r="H31" i="3"/>
  <c r="G31" i="3"/>
  <c r="F31" i="3"/>
  <c r="E31" i="3"/>
  <c r="D31" i="3"/>
  <c r="C31" i="3"/>
  <c r="C23" i="1" a="1"/>
  <c r="C23" i="1"/>
  <c r="F23" i="1" a="1"/>
  <c r="F23" i="1"/>
  <c r="C25" i="1" a="1"/>
  <c r="C25" i="1"/>
  <c r="F25" i="1" a="1"/>
  <c r="F25" i="1"/>
  <c r="B27" i="3"/>
  <c r="B4" i="3"/>
  <c r="B28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C34" i="1" a="1"/>
  <c r="C34" i="1"/>
  <c r="F34" i="1" a="1"/>
  <c r="F34" i="1"/>
  <c r="C27" i="1" a="1"/>
  <c r="C27" i="1"/>
  <c r="F27" i="1" a="1"/>
  <c r="F27" i="1"/>
  <c r="C26" i="1" a="1"/>
  <c r="C26" i="1"/>
  <c r="F26" i="1" a="1"/>
  <c r="F26" i="1"/>
  <c r="C22" i="1" a="1"/>
  <c r="C22" i="1"/>
  <c r="F22" i="1" a="1"/>
  <c r="F22" i="1"/>
  <c r="C20" i="1" a="1"/>
  <c r="C20" i="1"/>
  <c r="F20" i="1" a="1"/>
  <c r="F20" i="1"/>
  <c r="C21" i="1" a="1"/>
  <c r="C21" i="1"/>
  <c r="F21" i="1" a="1"/>
  <c r="F21" i="1"/>
  <c r="C19" i="1" a="1"/>
  <c r="C19" i="1"/>
  <c r="F19" i="1" a="1"/>
  <c r="F19" i="1"/>
  <c r="C18" i="1" a="1"/>
  <c r="C18" i="1"/>
  <c r="F18" i="1" a="1"/>
  <c r="F18" i="1"/>
  <c r="C17" i="1"/>
  <c r="F17" i="1" a="1"/>
  <c r="F17" i="1"/>
  <c r="C15" i="1" a="1"/>
  <c r="C15" i="1"/>
  <c r="F15" i="1" a="1"/>
  <c r="F15" i="1"/>
  <c r="C14" i="1" a="1"/>
  <c r="C14" i="1"/>
  <c r="F14" i="1" a="1"/>
  <c r="F14" i="1"/>
  <c r="C12" i="1" a="1"/>
  <c r="C12" i="1"/>
  <c r="F12" i="1" a="1"/>
  <c r="F12" i="1"/>
  <c r="E5" i="3"/>
  <c r="B3" i="3"/>
  <c r="I34" i="1" a="1"/>
  <c r="I34" i="1"/>
  <c r="K34" i="1" a="1"/>
  <c r="K34" i="1"/>
  <c r="E26" i="6"/>
  <c r="J34" i="1" a="1"/>
  <c r="J34" i="1"/>
  <c r="D26" i="6"/>
  <c r="I27" i="1" a="1"/>
  <c r="I27" i="1"/>
  <c r="K27" i="1" a="1"/>
  <c r="K27" i="1"/>
  <c r="E19" i="6"/>
  <c r="J27" i="1" a="1"/>
  <c r="J27" i="1"/>
  <c r="D19" i="6"/>
  <c r="I23" i="1" a="1"/>
  <c r="I23" i="1"/>
  <c r="K23" i="1" a="1"/>
  <c r="K23" i="1"/>
  <c r="E15" i="6"/>
  <c r="J23" i="1" a="1"/>
  <c r="J23" i="1"/>
  <c r="D15" i="6"/>
  <c r="I17" i="1" a="1"/>
  <c r="I17" i="1"/>
  <c r="K17" i="1" a="1"/>
  <c r="K17" i="1"/>
  <c r="E9" i="6"/>
  <c r="J17" i="1" a="1"/>
  <c r="J17" i="1"/>
  <c r="D9" i="6"/>
  <c r="I12" i="1" a="1"/>
  <c r="I12" i="1"/>
  <c r="K12" i="1" a="1"/>
  <c r="K12" i="1"/>
  <c r="E4" i="6"/>
  <c r="J12" i="1" a="1"/>
  <c r="J12" i="1"/>
  <c r="D4" i="6"/>
  <c r="G12" i="1" a="1"/>
  <c r="G12" i="1"/>
  <c r="G27" i="1" a="1"/>
  <c r="G27" i="1"/>
  <c r="G17" i="1" a="1"/>
  <c r="G17" i="1"/>
  <c r="G23" i="1" a="1"/>
  <c r="G23" i="1"/>
  <c r="G34" i="1" a="1"/>
  <c r="G34" i="1"/>
  <c r="N34" i="1" a="1"/>
  <c r="N34" i="1"/>
  <c r="M34" i="1" a="1"/>
  <c r="M34" i="1"/>
  <c r="L34" i="1" a="1"/>
  <c r="L34" i="1"/>
  <c r="N27" i="1" a="1"/>
  <c r="N27" i="1"/>
  <c r="M27" i="1" a="1"/>
  <c r="M27" i="1"/>
  <c r="L27" i="1" a="1"/>
  <c r="L27" i="1"/>
  <c r="N23" i="1" a="1"/>
  <c r="N23" i="1"/>
  <c r="M23" i="1" a="1"/>
  <c r="M23" i="1"/>
  <c r="L23" i="1" a="1"/>
  <c r="L23" i="1"/>
  <c r="N17" i="1" a="1"/>
  <c r="N17" i="1"/>
  <c r="M17" i="1" a="1"/>
  <c r="M17" i="1"/>
  <c r="L17" i="1" a="1"/>
  <c r="L17" i="1"/>
  <c r="N12" i="1" a="1"/>
  <c r="N12" i="1"/>
  <c r="M12" i="1" a="1"/>
  <c r="M12" i="1"/>
  <c r="L12" i="1" a="1"/>
  <c r="L12" i="1"/>
  <c r="G14" i="1" a="1"/>
  <c r="G14" i="1"/>
  <c r="G15" i="1" a="1"/>
  <c r="G15" i="1"/>
  <c r="G18" i="1" a="1"/>
  <c r="G18" i="1"/>
  <c r="G19" i="1" a="1"/>
  <c r="G19" i="1"/>
  <c r="G20" i="1" a="1"/>
  <c r="G20" i="1"/>
  <c r="G21" i="1" a="1"/>
  <c r="G21" i="1"/>
  <c r="G22" i="1" a="1"/>
  <c r="G22" i="1"/>
  <c r="G25" i="1" a="1"/>
  <c r="G25" i="1"/>
  <c r="G26" i="1" a="1"/>
  <c r="G26" i="1"/>
  <c r="N26" i="1" a="1"/>
  <c r="N26" i="1"/>
  <c r="M26" i="1" a="1"/>
  <c r="M26" i="1"/>
  <c r="L26" i="1" a="1"/>
  <c r="L26" i="1"/>
  <c r="I26" i="1" a="1"/>
  <c r="I26" i="1"/>
  <c r="K26" i="1" a="1"/>
  <c r="K26" i="1"/>
  <c r="J26" i="1" a="1"/>
  <c r="J26" i="1"/>
  <c r="N25" i="1" a="1"/>
  <c r="N25" i="1"/>
  <c r="M25" i="1" a="1"/>
  <c r="M25" i="1"/>
  <c r="L25" i="1" a="1"/>
  <c r="L25" i="1"/>
  <c r="I25" i="1" a="1"/>
  <c r="I25" i="1"/>
  <c r="K25" i="1" a="1"/>
  <c r="K25" i="1"/>
  <c r="J25" i="1" a="1"/>
  <c r="J25" i="1"/>
  <c r="N22" i="1" a="1"/>
  <c r="N22" i="1"/>
  <c r="M22" i="1" a="1"/>
  <c r="M22" i="1"/>
  <c r="L22" i="1" a="1"/>
  <c r="L22" i="1"/>
  <c r="I22" i="1" a="1"/>
  <c r="I22" i="1"/>
  <c r="K22" i="1" a="1"/>
  <c r="K22" i="1"/>
  <c r="J22" i="1" a="1"/>
  <c r="J22" i="1"/>
  <c r="N21" i="1" a="1"/>
  <c r="N21" i="1"/>
  <c r="M21" i="1" a="1"/>
  <c r="M21" i="1"/>
  <c r="L21" i="1" a="1"/>
  <c r="L21" i="1"/>
  <c r="I21" i="1" a="1"/>
  <c r="I21" i="1"/>
  <c r="K21" i="1" a="1"/>
  <c r="K21" i="1"/>
  <c r="J21" i="1" a="1"/>
  <c r="J21" i="1"/>
  <c r="N20" i="1" a="1"/>
  <c r="N20" i="1"/>
  <c r="M20" i="1" a="1"/>
  <c r="M20" i="1"/>
  <c r="L20" i="1" a="1"/>
  <c r="L20" i="1"/>
  <c r="I20" i="1" a="1"/>
  <c r="I20" i="1"/>
  <c r="K20" i="1" a="1"/>
  <c r="K20" i="1"/>
  <c r="J20" i="1" a="1"/>
  <c r="J20" i="1"/>
  <c r="N19" i="1" a="1"/>
  <c r="N19" i="1"/>
  <c r="M19" i="1" a="1"/>
  <c r="M19" i="1"/>
  <c r="L19" i="1" a="1"/>
  <c r="L19" i="1"/>
  <c r="I19" i="1" a="1"/>
  <c r="I19" i="1"/>
  <c r="K19" i="1" a="1"/>
  <c r="K19" i="1"/>
  <c r="J19" i="1" a="1"/>
  <c r="J19" i="1"/>
  <c r="N18" i="1" a="1"/>
  <c r="N18" i="1"/>
  <c r="M18" i="1" a="1"/>
  <c r="M18" i="1"/>
  <c r="L18" i="1" a="1"/>
  <c r="L18" i="1"/>
  <c r="I18" i="1" a="1"/>
  <c r="I18" i="1"/>
  <c r="K18" i="1" a="1"/>
  <c r="K18" i="1"/>
  <c r="J18" i="1" a="1"/>
  <c r="J18" i="1"/>
  <c r="N15" i="1" a="1"/>
  <c r="N15" i="1"/>
  <c r="M15" i="1" a="1"/>
  <c r="M15" i="1"/>
  <c r="L15" i="1" a="1"/>
  <c r="L15" i="1"/>
  <c r="I15" i="1" a="1"/>
  <c r="I15" i="1"/>
  <c r="K15" i="1" a="1"/>
  <c r="K15" i="1"/>
  <c r="J15" i="1" a="1"/>
  <c r="J15" i="1"/>
  <c r="N14" i="1" a="1"/>
  <c r="N14" i="1"/>
  <c r="M14" i="1" a="1"/>
  <c r="M14" i="1"/>
  <c r="L14" i="1" a="1"/>
  <c r="L14" i="1"/>
  <c r="I14" i="1" a="1"/>
  <c r="I14" i="1"/>
  <c r="K14" i="1" a="1"/>
  <c r="K14" i="1"/>
  <c r="J14" i="1" a="1"/>
  <c r="J14" i="1"/>
  <c r="D6" i="6"/>
  <c r="E6" i="6"/>
  <c r="D7" i="6"/>
  <c r="E7" i="6"/>
  <c r="D10" i="6"/>
  <c r="E10" i="6"/>
  <c r="D11" i="6"/>
  <c r="E11" i="6"/>
  <c r="D12" i="6"/>
  <c r="E12" i="6"/>
  <c r="D13" i="6"/>
  <c r="E13" i="6"/>
  <c r="D14" i="6"/>
  <c r="E14" i="6"/>
  <c r="D17" i="6"/>
  <c r="E17" i="6"/>
  <c r="D18" i="6"/>
  <c r="E18" i="6"/>
  <c r="C35" i="1" a="1"/>
  <c r="C35" i="1"/>
  <c r="I35" i="1" a="1"/>
  <c r="I35" i="1"/>
  <c r="K35" i="1" a="1"/>
  <c r="K35" i="1"/>
  <c r="E27" i="6"/>
  <c r="J35" i="1" a="1"/>
  <c r="J35" i="1"/>
  <c r="D27" i="6"/>
  <c r="F35" i="1" a="1"/>
  <c r="F35" i="1"/>
  <c r="L35" i="1" a="1"/>
  <c r="L35" i="1"/>
  <c r="M35" i="1" a="1"/>
  <c r="M35" i="1"/>
  <c r="N35" i="1" a="1"/>
  <c r="N35" i="1"/>
  <c r="G35" i="1" a="1"/>
  <c r="G35" i="1"/>
  <c r="C36" i="1" a="1"/>
  <c r="C36" i="1"/>
  <c r="F36" i="1" a="1"/>
  <c r="F36" i="1"/>
  <c r="L36" i="1" a="1"/>
  <c r="L36" i="1"/>
  <c r="M36" i="1" a="1"/>
  <c r="M36" i="1"/>
  <c r="N36" i="1" a="1"/>
  <c r="N36" i="1"/>
  <c r="G36" i="1" a="1"/>
  <c r="G36" i="1"/>
  <c r="I36" i="1" a="1"/>
  <c r="I36" i="1"/>
  <c r="J36" i="1" a="1"/>
  <c r="J36" i="1"/>
  <c r="D28" i="6"/>
  <c r="K36" i="1" a="1"/>
  <c r="K36" i="1"/>
  <c r="E28" i="6"/>
  <c r="D12" i="1" a="1"/>
  <c r="D12" i="1"/>
  <c r="E12" i="1" a="1"/>
  <c r="E12" i="1"/>
  <c r="D14" i="1" a="1"/>
  <c r="D14" i="1"/>
  <c r="E14" i="1" a="1"/>
  <c r="E14" i="1"/>
  <c r="D15" i="1" a="1"/>
  <c r="D15" i="1"/>
  <c r="E15" i="1" a="1"/>
  <c r="E15" i="1"/>
  <c r="D17" i="1" a="1"/>
  <c r="D17" i="1"/>
  <c r="E17" i="1" a="1"/>
  <c r="E17" i="1"/>
  <c r="D18" i="1" a="1"/>
  <c r="D18" i="1"/>
  <c r="E18" i="1" a="1"/>
  <c r="E18" i="1"/>
  <c r="D19" i="1" a="1"/>
  <c r="D19" i="1"/>
  <c r="E19" i="1" a="1"/>
  <c r="E19" i="1"/>
  <c r="D21" i="1" a="1"/>
  <c r="D21" i="1"/>
  <c r="E21" i="1" a="1"/>
  <c r="E21" i="1"/>
  <c r="D20" i="1" a="1"/>
  <c r="D20" i="1"/>
  <c r="E20" i="1" a="1"/>
  <c r="E20" i="1"/>
  <c r="D22" i="1" a="1"/>
  <c r="D22" i="1"/>
  <c r="E22" i="1" a="1"/>
  <c r="E22" i="1"/>
  <c r="D26" i="1" a="1"/>
  <c r="D26" i="1"/>
  <c r="E26" i="1" a="1"/>
  <c r="E26" i="1"/>
  <c r="D27" i="1" a="1"/>
  <c r="D27" i="1"/>
  <c r="E27" i="1" a="1"/>
  <c r="E27" i="1"/>
  <c r="E34" i="1" a="1"/>
  <c r="E34" i="1"/>
  <c r="D34" i="1" a="1"/>
  <c r="D34" i="1"/>
  <c r="D35" i="1" a="1"/>
  <c r="D35" i="1"/>
  <c r="E35" i="1" a="1"/>
  <c r="E35" i="1"/>
  <c r="D36" i="1" a="1"/>
  <c r="D36" i="1"/>
  <c r="E36" i="1" a="1"/>
  <c r="E36" i="1"/>
  <c r="C11" i="1" a="1"/>
  <c r="C11" i="1"/>
  <c r="F11" i="1" a="1"/>
  <c r="F11" i="1"/>
  <c r="G11" i="1"/>
  <c r="C24" i="1" a="1"/>
  <c r="C24" i="1"/>
  <c r="F24" i="1" a="1"/>
  <c r="F24" i="1"/>
  <c r="G24" i="1" a="1"/>
  <c r="G24" i="1"/>
  <c r="N24" i="1" a="1"/>
  <c r="N24" i="1"/>
  <c r="M24" i="1" a="1"/>
  <c r="M24" i="1"/>
  <c r="L24" i="1" a="1"/>
  <c r="L24" i="1"/>
  <c r="I24" i="1" a="1"/>
  <c r="I24" i="1"/>
  <c r="J24" i="1" a="1"/>
  <c r="J24" i="1"/>
  <c r="D16" i="6"/>
  <c r="K24" i="1" a="1"/>
  <c r="K24" i="1"/>
  <c r="E16" i="6"/>
  <c r="L11" i="1" a="1"/>
  <c r="L11" i="1"/>
  <c r="M11" i="1" a="1"/>
  <c r="M11" i="1"/>
  <c r="N11" i="1" a="1"/>
  <c r="N11" i="1"/>
  <c r="I11" i="1" a="1"/>
  <c r="I11" i="1"/>
  <c r="J11" i="1" a="1"/>
  <c r="J11" i="1"/>
  <c r="D3" i="6"/>
  <c r="K11" i="1" a="1"/>
  <c r="K11" i="1"/>
  <c r="E3" i="6"/>
  <c r="D11" i="1" a="1"/>
  <c r="D11" i="1"/>
  <c r="E11" i="1" a="1"/>
  <c r="E11" i="1"/>
  <c r="D24" i="1" a="1"/>
  <c r="D24" i="1"/>
  <c r="E24" i="1" a="1"/>
  <c r="E24" i="1"/>
  <c r="D25" i="1" a="1"/>
  <c r="D25" i="1"/>
  <c r="E25" i="1" a="1"/>
  <c r="E25" i="1"/>
  <c r="D23" i="1" a="1"/>
  <c r="D23" i="1"/>
  <c r="E23" i="1" a="1"/>
  <c r="E23" i="1"/>
  <c r="C33" i="1" a="1"/>
  <c r="C33" i="1"/>
  <c r="D33" i="1" a="1"/>
  <c r="D33" i="1"/>
  <c r="E33" i="1" a="1"/>
  <c r="E33" i="1"/>
  <c r="C16" i="1"/>
  <c r="F16" i="1" a="1"/>
  <c r="F16" i="1"/>
  <c r="G16" i="1" a="1"/>
  <c r="G16" i="1"/>
  <c r="C28" i="1" a="1"/>
  <c r="C28" i="1"/>
  <c r="F28" i="1" a="1"/>
  <c r="F28" i="1"/>
  <c r="G28" i="1" a="1"/>
  <c r="G28" i="1"/>
  <c r="C29" i="1" a="1"/>
  <c r="C29" i="1"/>
  <c r="F29" i="1" a="1"/>
  <c r="F29" i="1"/>
  <c r="G29" i="1" a="1"/>
  <c r="G29" i="1"/>
  <c r="C30" i="1" a="1"/>
  <c r="C30" i="1"/>
  <c r="F30" i="1" a="1"/>
  <c r="F30" i="1"/>
  <c r="G30" i="1" a="1"/>
  <c r="G30" i="1"/>
  <c r="C31" i="1" a="1"/>
  <c r="C31" i="1"/>
  <c r="F31" i="1" a="1"/>
  <c r="F31" i="1"/>
  <c r="G31" i="1" a="1"/>
  <c r="G31" i="1"/>
  <c r="C32" i="1" a="1"/>
  <c r="C32" i="1"/>
  <c r="F32" i="1" a="1"/>
  <c r="F32" i="1"/>
  <c r="G32" i="1" a="1"/>
  <c r="G32" i="1"/>
  <c r="F33" i="1" a="1"/>
  <c r="F33" i="1"/>
  <c r="G33" i="1" a="1"/>
  <c r="G33" i="1"/>
  <c r="E16" i="1" a="1"/>
  <c r="E16" i="1"/>
  <c r="D16" i="1" a="1"/>
  <c r="D16" i="1"/>
  <c r="I16" i="1" a="1"/>
  <c r="I16" i="1"/>
  <c r="K16" i="1" a="1"/>
  <c r="K16" i="1"/>
  <c r="E8" i="6"/>
  <c r="J16" i="1" a="1"/>
  <c r="J16" i="1"/>
  <c r="D8" i="6"/>
  <c r="L16" i="1" a="1"/>
  <c r="L16" i="1"/>
  <c r="M16" i="1" a="1"/>
  <c r="M16" i="1"/>
  <c r="N16" i="1" a="1"/>
  <c r="N16" i="1"/>
  <c r="N31" i="1" a="1"/>
  <c r="N31" i="1"/>
  <c r="M31" i="1" a="1"/>
  <c r="M31" i="1"/>
  <c r="L31" i="1" a="1"/>
  <c r="L31" i="1"/>
  <c r="N29" i="1" a="1"/>
  <c r="N29" i="1"/>
  <c r="M29" i="1" a="1"/>
  <c r="M29" i="1"/>
  <c r="L29" i="1" a="1"/>
  <c r="L29" i="1"/>
  <c r="I29" i="1" a="1"/>
  <c r="I29" i="1"/>
  <c r="J29" i="1" a="1"/>
  <c r="J29" i="1"/>
  <c r="D21" i="6"/>
  <c r="K29" i="1" a="1"/>
  <c r="K29" i="1"/>
  <c r="E21" i="6"/>
  <c r="I31" i="1" a="1"/>
  <c r="I31" i="1"/>
  <c r="J31" i="1" a="1"/>
  <c r="J31" i="1"/>
  <c r="D23" i="6"/>
  <c r="K31" i="1" a="1"/>
  <c r="K31" i="1"/>
  <c r="E23" i="6"/>
  <c r="D29" i="1" a="1"/>
  <c r="D29" i="1"/>
  <c r="E29" i="1" a="1"/>
  <c r="E29" i="1"/>
  <c r="D31" i="1" a="1"/>
  <c r="D31" i="1"/>
  <c r="E31" i="1" a="1"/>
  <c r="E31" i="1"/>
  <c r="E32" i="1" a="1"/>
  <c r="E32" i="1"/>
  <c r="D32" i="1" a="1"/>
  <c r="D32" i="1"/>
  <c r="E30" i="1" a="1"/>
  <c r="E30" i="1"/>
  <c r="D30" i="1" a="1"/>
  <c r="D30" i="1"/>
  <c r="E28" i="1" a="1"/>
  <c r="E28" i="1"/>
  <c r="D28" i="1" a="1"/>
  <c r="D28" i="1"/>
  <c r="N28" i="1" a="1"/>
  <c r="N28" i="1"/>
  <c r="M28" i="1" a="1"/>
  <c r="M28" i="1"/>
  <c r="L28" i="1" a="1"/>
  <c r="L28" i="1"/>
  <c r="I28" i="1" a="1"/>
  <c r="I28" i="1"/>
  <c r="J28" i="1" a="1"/>
  <c r="J28" i="1"/>
  <c r="D20" i="6"/>
  <c r="K28" i="1" a="1"/>
  <c r="K28" i="1"/>
  <c r="E20" i="6"/>
  <c r="I32" i="1" a="1"/>
  <c r="I32" i="1"/>
  <c r="K32" i="1" a="1"/>
  <c r="K32" i="1"/>
  <c r="E24" i="6"/>
  <c r="J32" i="1" a="1"/>
  <c r="J32" i="1"/>
  <c r="D24" i="6"/>
  <c r="L32" i="1" a="1"/>
  <c r="L32" i="1"/>
  <c r="M32" i="1" a="1"/>
  <c r="M32" i="1"/>
  <c r="N32" i="1" a="1"/>
  <c r="N32" i="1"/>
  <c r="L30" i="1" a="1"/>
  <c r="L30" i="1"/>
  <c r="M30" i="1" a="1"/>
  <c r="M30" i="1"/>
  <c r="N30" i="1" a="1"/>
  <c r="N30" i="1"/>
  <c r="L33" i="1" a="1"/>
  <c r="L33" i="1"/>
  <c r="M33" i="1" a="1"/>
  <c r="M33" i="1"/>
  <c r="N33" i="1" a="1"/>
  <c r="N33" i="1"/>
  <c r="I30" i="1" a="1"/>
  <c r="I30" i="1"/>
  <c r="J30" i="1" a="1"/>
  <c r="J30" i="1"/>
  <c r="D22" i="6"/>
  <c r="K30" i="1" a="1"/>
  <c r="K30" i="1"/>
  <c r="E22" i="6"/>
  <c r="I33" i="1" a="1"/>
  <c r="I33" i="1"/>
  <c r="J33" i="1" a="1"/>
  <c r="J33" i="1"/>
  <c r="D25" i="6"/>
  <c r="K33" i="1" a="1"/>
  <c r="K33" i="1"/>
  <c r="E25" i="6"/>
  <c r="C13" i="1"/>
  <c r="F13" i="1" a="1"/>
  <c r="F13" i="1"/>
  <c r="G13" i="1" a="1"/>
  <c r="G13" i="1"/>
  <c r="H3" i="6" a="1"/>
  <c r="H3" i="6"/>
  <c r="H4" i="6" a="1"/>
  <c r="H4" i="6"/>
  <c r="H5" i="6" a="1"/>
  <c r="H6" i="6" a="1"/>
  <c r="H7" i="6" a="1"/>
  <c r="H8" i="6" a="1"/>
  <c r="H9" i="6" a="1"/>
  <c r="H10" i="6" a="1"/>
  <c r="H11" i="6" a="1"/>
  <c r="H12" i="6" a="1"/>
  <c r="H13" i="6" a="1"/>
  <c r="H14" i="6" a="1"/>
  <c r="H15" i="6" a="1"/>
  <c r="H16" i="6" a="1"/>
  <c r="H17" i="6" a="1"/>
  <c r="H18" i="6" a="1"/>
  <c r="H19" i="6" a="1"/>
  <c r="H20" i="6" a="1"/>
  <c r="H21" i="6" a="1"/>
  <c r="H22" i="6" a="1"/>
  <c r="H23" i="6" a="1"/>
  <c r="H24" i="6" a="1"/>
  <c r="H25" i="6" a="1"/>
  <c r="H26" i="6" a="1"/>
  <c r="H27" i="6" a="1"/>
  <c r="H28" i="6" a="1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I10" i="6" a="1"/>
  <c r="I10" i="6"/>
  <c r="I3" i="6" a="1"/>
  <c r="I3" i="6"/>
  <c r="I4" i="6" a="1"/>
  <c r="I4" i="6"/>
  <c r="I5" i="6" a="1"/>
  <c r="I6" i="6" a="1"/>
  <c r="I7" i="6" a="1"/>
  <c r="I8" i="6" a="1"/>
  <c r="I9" i="6" a="1"/>
  <c r="I11" i="6" a="1"/>
  <c r="I12" i="6" a="1"/>
  <c r="I13" i="6" a="1"/>
  <c r="I14" i="6" a="1"/>
  <c r="I15" i="6" a="1"/>
  <c r="I16" i="6" a="1"/>
  <c r="I17" i="6" a="1"/>
  <c r="I18" i="6" a="1"/>
  <c r="I19" i="6" a="1"/>
  <c r="I20" i="6" a="1"/>
  <c r="I21" i="6" a="1"/>
  <c r="I22" i="6" a="1"/>
  <c r="I23" i="6" a="1"/>
  <c r="I24" i="6" a="1"/>
  <c r="I25" i="6" a="1"/>
  <c r="I26" i="6" a="1"/>
  <c r="I27" i="6" a="1"/>
  <c r="I5" i="6"/>
  <c r="I6" i="6"/>
  <c r="I7" i="6"/>
  <c r="I8" i="6"/>
  <c r="I9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J10" i="6" a="1"/>
  <c r="J10" i="6"/>
  <c r="K10" i="6" a="1"/>
  <c r="K10" i="6"/>
  <c r="H15" i="1"/>
  <c r="J9" i="6" a="1"/>
  <c r="J9" i="6"/>
  <c r="K9" i="6" a="1"/>
  <c r="K9" i="6"/>
  <c r="H13" i="1"/>
  <c r="J12" i="6" a="1"/>
  <c r="J12" i="6"/>
  <c r="K12" i="6" a="1"/>
  <c r="K12" i="6"/>
  <c r="H14" i="1"/>
  <c r="E13" i="1" a="1"/>
  <c r="E13" i="1"/>
  <c r="D13" i="1" a="1"/>
  <c r="D13" i="1"/>
  <c r="I13" i="1" a="1"/>
  <c r="I13" i="1"/>
  <c r="K13" i="1" a="1"/>
  <c r="K13" i="1"/>
  <c r="E5" i="6"/>
  <c r="J13" i="1" a="1"/>
  <c r="J13" i="1"/>
  <c r="L13" i="1" a="1"/>
  <c r="L13" i="1"/>
  <c r="M13" i="1" a="1"/>
  <c r="M13" i="1"/>
  <c r="N13" i="1" a="1"/>
  <c r="N13" i="1"/>
  <c r="J20" i="6" a="1"/>
  <c r="J20" i="6"/>
  <c r="K20" i="6" a="1"/>
  <c r="K20" i="6"/>
  <c r="H12" i="1" a="1"/>
  <c r="H12" i="1"/>
  <c r="J11" i="6" a="1"/>
  <c r="J11" i="6"/>
  <c r="K11" i="6" a="1"/>
  <c r="K11" i="6"/>
  <c r="H16" i="1" a="1"/>
  <c r="H16" i="1"/>
  <c r="J13" i="6" a="1"/>
  <c r="J13" i="6"/>
  <c r="K13" i="6" a="1"/>
  <c r="K13" i="6"/>
  <c r="H17" i="1" a="1"/>
  <c r="H17" i="1"/>
  <c r="J15" i="6" a="1"/>
  <c r="J15" i="6"/>
  <c r="K15" i="6" a="1"/>
  <c r="K15" i="6"/>
  <c r="H18" i="1" a="1"/>
  <c r="H18" i="1"/>
  <c r="J14" i="6" a="1"/>
  <c r="J14" i="6"/>
  <c r="K14" i="6" a="1"/>
  <c r="K14" i="6"/>
  <c r="H19" i="1" a="1"/>
  <c r="H19" i="1"/>
  <c r="J4" i="6" a="1"/>
  <c r="J4" i="6"/>
  <c r="K4" i="6" a="1"/>
  <c r="K4" i="6"/>
  <c r="H20" i="1" a="1"/>
  <c r="H20" i="1"/>
  <c r="J19" i="6" a="1"/>
  <c r="J19" i="6"/>
  <c r="K19" i="6" a="1"/>
  <c r="K19" i="6"/>
  <c r="H21" i="1" a="1"/>
  <c r="H21" i="1"/>
  <c r="J7" i="6" a="1"/>
  <c r="J7" i="6"/>
  <c r="K7" i="6" a="1"/>
  <c r="K7" i="6"/>
  <c r="H22" i="1" a="1"/>
  <c r="H22" i="1"/>
  <c r="J17" i="6" a="1"/>
  <c r="J17" i="6"/>
  <c r="K17" i="6" a="1"/>
  <c r="K17" i="6"/>
  <c r="H23" i="1" a="1"/>
  <c r="H23" i="1"/>
  <c r="J3" i="6" a="1"/>
  <c r="J3" i="6"/>
  <c r="K3" i="6" a="1"/>
  <c r="K3" i="6"/>
  <c r="H24" i="1" a="1"/>
  <c r="H24" i="1"/>
  <c r="J18" i="6" a="1"/>
  <c r="J18" i="6"/>
  <c r="K18" i="6" a="1"/>
  <c r="K18" i="6"/>
  <c r="H25" i="1" a="1"/>
  <c r="H25" i="1"/>
  <c r="J8" i="6" a="1"/>
  <c r="J8" i="6"/>
  <c r="K8" i="6" a="1"/>
  <c r="K8" i="6"/>
  <c r="H26" i="1" a="1"/>
  <c r="H26" i="1"/>
  <c r="J16" i="6" a="1"/>
  <c r="J16" i="6"/>
  <c r="K16" i="6" a="1"/>
  <c r="K16" i="6"/>
  <c r="H27" i="1" a="1"/>
  <c r="H27" i="1"/>
  <c r="J22" i="6" a="1"/>
  <c r="J22" i="6"/>
  <c r="K22" i="6" a="1"/>
  <c r="K22" i="6"/>
  <c r="H28" i="1" a="1"/>
  <c r="H28" i="1"/>
  <c r="J23" i="6" a="1"/>
  <c r="J23" i="6"/>
  <c r="K23" i="6" a="1"/>
  <c r="K23" i="6"/>
  <c r="H29" i="1" a="1"/>
  <c r="H29" i="1"/>
  <c r="I28" i="6" a="1"/>
  <c r="I28" i="6"/>
  <c r="J28" i="6" a="1"/>
  <c r="J28" i="6"/>
  <c r="K28" i="6" a="1"/>
  <c r="K28" i="6"/>
  <c r="H30" i="1" a="1"/>
  <c r="H30" i="1"/>
  <c r="J5" i="6" a="1"/>
  <c r="J5" i="6"/>
  <c r="K5" i="6" a="1"/>
  <c r="K5" i="6"/>
  <c r="H31" i="1" a="1"/>
  <c r="H31" i="1"/>
  <c r="J21" i="6" a="1"/>
  <c r="J21" i="6"/>
  <c r="K21" i="6" a="1"/>
  <c r="K21" i="6"/>
  <c r="H32" i="1" a="1"/>
  <c r="H32" i="1"/>
  <c r="J24" i="6" a="1"/>
  <c r="J24" i="6"/>
  <c r="K24" i="6" a="1"/>
  <c r="K24" i="6"/>
  <c r="H33" i="1" a="1"/>
  <c r="H33" i="1"/>
  <c r="J27" i="6" a="1"/>
  <c r="J27" i="6"/>
  <c r="K27" i="6" a="1"/>
  <c r="K27" i="6"/>
  <c r="H34" i="1" a="1"/>
  <c r="H34" i="1"/>
  <c r="J26" i="6" a="1"/>
  <c r="J26" i="6"/>
  <c r="K26" i="6" a="1"/>
  <c r="K26" i="6"/>
  <c r="H35" i="1" a="1"/>
  <c r="H35" i="1"/>
  <c r="J25" i="6" a="1"/>
  <c r="J25" i="6"/>
  <c r="K25" i="6" a="1"/>
  <c r="K25" i="6"/>
  <c r="H36" i="1" a="1"/>
  <c r="H36" i="1"/>
  <c r="J6" i="6" a="1"/>
  <c r="J6" i="6"/>
  <c r="K6" i="6" a="1"/>
  <c r="K6" i="6"/>
  <c r="H11" i="1"/>
  <c r="D5" i="6"/>
</calcChain>
</file>

<file path=xl/sharedStrings.xml><?xml version="1.0" encoding="utf-8"?>
<sst xmlns="http://schemas.openxmlformats.org/spreadsheetml/2006/main" count="565" uniqueCount="132">
  <si>
    <t>Sex</t>
  </si>
  <si>
    <t>GE</t>
  </si>
  <si>
    <t>Philips</t>
  </si>
  <si>
    <t>GE X Strength</t>
  </si>
  <si>
    <t>Philips X Strength</t>
  </si>
  <si>
    <t>Amygdala L</t>
  </si>
  <si>
    <t>Amygdala R</t>
  </si>
  <si>
    <t>Brainstem</t>
  </si>
  <si>
    <t>Caudate L</t>
  </si>
  <si>
    <t>Caudate R</t>
  </si>
  <si>
    <t>Corpus callosum</t>
  </si>
  <si>
    <t>Hippocampus L</t>
  </si>
  <si>
    <t>Hippocampus R</t>
  </si>
  <si>
    <t>Putamen L</t>
  </si>
  <si>
    <t>Putamen R</t>
  </si>
  <si>
    <t>Thalamus L</t>
  </si>
  <si>
    <t>Thalamus R</t>
  </si>
  <si>
    <t>Ventral DC L</t>
  </si>
  <si>
    <t>Ventral DC R</t>
  </si>
  <si>
    <t>Ventricles sum</t>
  </si>
  <si>
    <t>Lateral L</t>
  </si>
  <si>
    <t>Lateral R</t>
  </si>
  <si>
    <t>Inferior lateral L</t>
  </si>
  <si>
    <t>Inferior lateral R</t>
  </si>
  <si>
    <t>3rd</t>
  </si>
  <si>
    <t>4th</t>
  </si>
  <si>
    <t>Subcortical GM</t>
  </si>
  <si>
    <t>Accumbens L</t>
  </si>
  <si>
    <t>Accumbens R</t>
  </si>
  <si>
    <t>Pallidum L</t>
  </si>
  <si>
    <t>Pallidum R</t>
  </si>
  <si>
    <t>Prediction interval (95%)</t>
  </si>
  <si>
    <t>t</t>
  </si>
  <si>
    <t>Point</t>
  </si>
  <si>
    <t>1.5T = 1 
3T = 0</t>
  </si>
  <si>
    <t>AGE</t>
  </si>
  <si>
    <t>SEX</t>
  </si>
  <si>
    <t>MANUFACTURER</t>
  </si>
  <si>
    <t>REGIONS</t>
  </si>
  <si>
    <t xml:space="preserve"> </t>
  </si>
  <si>
    <r>
      <t>NORMATIVE VALUES (mm</t>
    </r>
    <r>
      <rPr>
        <b/>
        <vertAlign val="superscript"/>
        <sz val="14"/>
        <color theme="1" tint="0.249977111117893"/>
        <rFont val="Calibri"/>
        <scheme val="minor"/>
      </rPr>
      <t>3</t>
    </r>
    <r>
      <rPr>
        <b/>
        <sz val="14"/>
        <color theme="1" tint="0.249977111117893"/>
        <rFont val="Calibri"/>
        <family val="2"/>
        <scheme val="minor"/>
      </rPr>
      <t>)</t>
    </r>
  </si>
  <si>
    <t>n</t>
  </si>
  <si>
    <t>B0</t>
  </si>
  <si>
    <t>agec</t>
  </si>
  <si>
    <t>tivc</t>
  </si>
  <si>
    <t>tivc2</t>
  </si>
  <si>
    <t>TIVc</t>
  </si>
  <si>
    <t>TIVc2</t>
  </si>
  <si>
    <t>TIVc3</t>
  </si>
  <si>
    <t>TIVc X Strength</t>
  </si>
  <si>
    <t>Agec X Sex</t>
  </si>
  <si>
    <t>TIVc X GE</t>
  </si>
  <si>
    <t>TIVc X Philips</t>
  </si>
  <si>
    <t>Agec</t>
  </si>
  <si>
    <t>Agec2</t>
  </si>
  <si>
    <t>Agec3</t>
  </si>
  <si>
    <t>MSE</t>
  </si>
  <si>
    <t>agec2</t>
  </si>
  <si>
    <r>
      <rPr>
        <i/>
        <sz val="14"/>
        <color theme="1" tint="0.249977111117893"/>
        <rFont val="Calibri"/>
        <family val="2"/>
        <scheme val="minor"/>
      </rPr>
      <t>t</t>
    </r>
    <r>
      <rPr>
        <sz val="14"/>
        <color theme="1" tint="0.249977111117893"/>
        <rFont val="Calibri"/>
        <family val="2"/>
        <scheme val="minor"/>
      </rPr>
      <t>-statistic</t>
    </r>
  </si>
  <si>
    <r>
      <t>SIGNIFICANCE TEST</t>
    </r>
    <r>
      <rPr>
        <b/>
        <vertAlign val="superscript"/>
        <sz val="14"/>
        <color theme="1" tint="0.249977111117893"/>
        <rFont val="Calibri"/>
        <scheme val="minor"/>
      </rPr>
      <t>a</t>
    </r>
  </si>
  <si>
    <r>
      <t>95% CI</t>
    </r>
    <r>
      <rPr>
        <vertAlign val="superscript"/>
        <sz val="14"/>
        <color theme="1" tint="0.249977111117893"/>
        <rFont val="Calibri"/>
        <scheme val="minor"/>
      </rPr>
      <t>c</t>
    </r>
  </si>
  <si>
    <r>
      <t>OBSERVED 
VOLUMES (mm</t>
    </r>
    <r>
      <rPr>
        <b/>
        <vertAlign val="superscript"/>
        <sz val="14"/>
        <color theme="1" tint="0.249977111117893"/>
        <rFont val="Calibri"/>
        <scheme val="minor"/>
      </rPr>
      <t>3</t>
    </r>
    <r>
      <rPr>
        <b/>
        <sz val="14"/>
        <color theme="1" tint="0.249977111117893"/>
        <rFont val="Calibri"/>
        <family val="2"/>
        <scheme val="minor"/>
      </rPr>
      <t>)</t>
    </r>
  </si>
  <si>
    <t>NORMATIVE STATISTICS</t>
  </si>
  <si>
    <t>Regions</t>
  </si>
  <si>
    <t>Final Y-axis</t>
  </si>
  <si>
    <t>95% CI</t>
  </si>
  <si>
    <t>agec3</t>
  </si>
  <si>
    <t>MAGNETIC FIELD STRENGTH</t>
  </si>
  <si>
    <t>tivc3</t>
  </si>
  <si>
    <t>sexq</t>
  </si>
  <si>
    <t>Predicted volume</t>
  </si>
  <si>
    <r>
      <t>Z</t>
    </r>
    <r>
      <rPr>
        <vertAlign val="subscript"/>
        <sz val="14"/>
        <color theme="1" tint="0.249977111117893"/>
        <rFont val="Calibri"/>
        <scheme val="minor"/>
      </rPr>
      <t>OP</t>
    </r>
  </si>
  <si>
    <t>5th-Ventricle</t>
  </si>
  <si>
    <t>CC_Posterior</t>
  </si>
  <si>
    <t>CC_Mid_Posterior</t>
  </si>
  <si>
    <t>CC_Central</t>
  </si>
  <si>
    <t>CC_Mid_Anterior</t>
  </si>
  <si>
    <t>CC_Anterior</t>
  </si>
  <si>
    <t>Male = 1
Female = 0</t>
  </si>
  <si>
    <t>GE = 1
Philips = 2
Siemens = 3</t>
  </si>
  <si>
    <t>FDR correction</t>
  </si>
  <si>
    <t>Nb of contrast</t>
  </si>
  <si>
    <t>Region</t>
  </si>
  <si>
    <t>p value</t>
  </si>
  <si>
    <t>Significancy</t>
  </si>
  <si>
    <t>Forest plot</t>
  </si>
  <si>
    <t>Subregion volumes</t>
  </si>
  <si>
    <t>Critical
p value</t>
  </si>
  <si>
    <r>
      <t>ESTIMATED EFFECT SIZE</t>
    </r>
    <r>
      <rPr>
        <b/>
        <vertAlign val="superscript"/>
        <sz val="14"/>
        <color theme="1" tint="0.249977111117893"/>
        <rFont val="Calibri"/>
        <scheme val="minor"/>
      </rPr>
      <t>c</t>
    </r>
  </si>
  <si>
    <r>
      <t>ESTIMATED PERCENTAGE OF 
THE NORMATIVE POPULATION 
WITH A SMALLER VOLUME</t>
    </r>
    <r>
      <rPr>
        <b/>
        <vertAlign val="superscript"/>
        <sz val="14"/>
        <color theme="1" tint="0.249977111117893"/>
        <rFont val="Calibri"/>
        <scheme val="minor"/>
      </rPr>
      <t>d</t>
    </r>
  </si>
  <si>
    <r>
      <rPr>
        <sz val="14"/>
        <color theme="1" tint="0.249977111117893"/>
        <rFont val="Calibri"/>
        <family val="2"/>
        <scheme val="minor"/>
      </rPr>
      <t xml:space="preserve">One-tailed
</t>
    </r>
    <r>
      <rPr>
        <i/>
        <sz val="14"/>
        <color theme="1" tint="0.249977111117893"/>
        <rFont val="Calibri"/>
        <family val="2"/>
        <scheme val="minor"/>
      </rPr>
      <t>p</t>
    </r>
  </si>
  <si>
    <r>
      <rPr>
        <sz val="14"/>
        <color theme="1" tint="0.249977111117893"/>
        <rFont val="Calibri"/>
        <family val="2"/>
        <scheme val="minor"/>
      </rPr>
      <t>FDR-corrected</t>
    </r>
    <r>
      <rPr>
        <vertAlign val="superscript"/>
        <sz val="14"/>
        <color theme="1" tint="0.249977111117893"/>
        <rFont val="Calibri"/>
        <scheme val="minor"/>
      </rPr>
      <t>b</t>
    </r>
    <r>
      <rPr>
        <sz val="14"/>
        <color theme="1" tint="0.249977111117893"/>
        <rFont val="Calibri"/>
        <family val="2"/>
        <scheme val="minor"/>
      </rPr>
      <t xml:space="preserve">
</t>
    </r>
    <r>
      <rPr>
        <i/>
        <sz val="14"/>
        <color theme="1" tint="0.249977111117893"/>
        <rFont val="Calibri"/>
        <family val="2"/>
        <scheme val="minor"/>
      </rPr>
      <t>p</t>
    </r>
    <r>
      <rPr>
        <sz val="14"/>
        <color theme="1" tint="0.249977111117893"/>
        <rFont val="Calibri"/>
        <family val="2"/>
        <scheme val="minor"/>
      </rPr>
      <t xml:space="preserve"> &lt; .05</t>
    </r>
  </si>
  <si>
    <t>MFSq</t>
  </si>
  <si>
    <t>GE_X_MFSq</t>
  </si>
  <si>
    <t>PHILIPS_X_MFSq</t>
  </si>
  <si>
    <t>AGEc_X_SEXq</t>
  </si>
  <si>
    <t>Left_Accumbens_area</t>
  </si>
  <si>
    <t>X =</t>
  </si>
  <si>
    <t>Beta</t>
  </si>
  <si>
    <t>Right_Accumbens_area</t>
  </si>
  <si>
    <t>Left_Amygdala</t>
  </si>
  <si>
    <t>TIVc_X_GE</t>
  </si>
  <si>
    <t>TIVc_X_PHILIPS</t>
  </si>
  <si>
    <t>Right_Amygdala</t>
  </si>
  <si>
    <t>Brain_Stem</t>
  </si>
  <si>
    <t>Left_Caudate</t>
  </si>
  <si>
    <t>Right_Caudate</t>
  </si>
  <si>
    <t>TIVc_X_MFSq</t>
  </si>
  <si>
    <t>Left_Hippocampus</t>
  </si>
  <si>
    <t>Right_Hippocampus</t>
  </si>
  <si>
    <t>Left_Pallidum</t>
  </si>
  <si>
    <t>Right_Pallidum</t>
  </si>
  <si>
    <t>Left_Putamen</t>
  </si>
  <si>
    <t>Right_Putamen</t>
  </si>
  <si>
    <t>Left_Thalamus_Proper</t>
  </si>
  <si>
    <t>Right_Thalamus_Proper</t>
  </si>
  <si>
    <t>Left_VentralDC</t>
  </si>
  <si>
    <t>Right_VentralDC</t>
  </si>
  <si>
    <t>ventricles_log</t>
  </si>
  <si>
    <t>LeftLateralVentricle_log</t>
  </si>
  <si>
    <t>RightLateralVentricle_log</t>
  </si>
  <si>
    <t>LeftInfLatVent_log</t>
  </si>
  <si>
    <t>RightInfLatVent_log</t>
  </si>
  <si>
    <t>_3rdventriclez_log</t>
  </si>
  <si>
    <t>_4th_Ventricle</t>
  </si>
  <si>
    <t>CCsum</t>
  </si>
  <si>
    <t>SubCortGrayVol</t>
  </si>
  <si>
    <t>SUBCORTICAL NORMS CALCULATOR</t>
  </si>
  <si>
    <r>
      <rPr>
        <b/>
        <sz val="16"/>
        <rFont val="Calibri"/>
        <scheme val="minor"/>
      </rPr>
      <t xml:space="preserve">1. </t>
    </r>
    <r>
      <rPr>
        <b/>
        <sz val="16"/>
        <color theme="1" tint="0.249977111117893"/>
        <rFont val="Calibri"/>
        <scheme val="minor"/>
      </rPr>
      <t>CHARACTERISTICS</t>
    </r>
  </si>
  <si>
    <t>ESTIMATED INTRACRANIAL VOLUME</t>
  </si>
  <si>
    <r>
      <t>FDR: False discovery rate, GM: Gray matter, NS: Not significant, Z</t>
    </r>
    <r>
      <rPr>
        <vertAlign val="subscript"/>
        <sz val="11"/>
        <color theme="1" tint="0.249977111117893"/>
        <rFont val="Calibri"/>
        <scheme val="minor"/>
      </rPr>
      <t>OP</t>
    </r>
    <r>
      <rPr>
        <sz val="11"/>
        <color theme="1" tint="0.249977111117893"/>
        <rFont val="Calibri"/>
        <scheme val="minor"/>
      </rPr>
      <t xml:space="preserve">: Effect size for the discrepancy between a case’s Observed and Predicted volume.
</t>
    </r>
    <r>
      <rPr>
        <vertAlign val="superscript"/>
        <sz val="11"/>
        <color theme="1" tint="0.249977111117893"/>
        <rFont val="Calibri"/>
        <scheme val="minor"/>
      </rPr>
      <t xml:space="preserve">a </t>
    </r>
    <r>
      <rPr>
        <sz val="11"/>
        <color theme="1" tint="0.249977111117893"/>
        <rFont val="Calibri"/>
        <scheme val="minor"/>
      </rPr>
      <t xml:space="preserve">Crawford, J.R., &amp; Howell, D.C. (1998). Regression equations in clinical neuropsychology: an evaluation of statistical methods for comparing predicted and obtained scores. </t>
    </r>
    <r>
      <rPr>
        <i/>
        <sz val="11"/>
        <color theme="1" tint="0.249977111117893"/>
        <rFont val="Calibri"/>
        <scheme val="minor"/>
      </rPr>
      <t>Jounal of Clinical and Experimental Neuropsychology</t>
    </r>
    <r>
      <rPr>
        <sz val="11"/>
        <color theme="1" tint="0.249977111117893"/>
        <rFont val="Calibri"/>
        <scheme val="minor"/>
      </rPr>
      <t xml:space="preserve">, 20(5), 755-762.
</t>
    </r>
    <r>
      <rPr>
        <vertAlign val="superscript"/>
        <sz val="11"/>
        <color theme="1" tint="0.249977111117893"/>
        <rFont val="Calibri"/>
        <scheme val="minor"/>
      </rPr>
      <t>b</t>
    </r>
    <r>
      <rPr>
        <sz val="11"/>
        <color theme="1" tint="0.249977111117893"/>
        <rFont val="Calibri"/>
        <scheme val="minor"/>
      </rPr>
      <t xml:space="preserve"> Benjamini, Y. &amp; Hochberg, Y. (1995). Controlling the False Discovery Rate: A practical and powerful approach to multiple testing. </t>
    </r>
    <r>
      <rPr>
        <i/>
        <sz val="11"/>
        <color theme="1" tint="0.249977111117893"/>
        <rFont val="Calibri"/>
        <scheme val="minor"/>
      </rPr>
      <t>Journal of the Royal Statistical Society B,</t>
    </r>
    <r>
      <rPr>
        <sz val="11"/>
        <color theme="1" tint="0.249977111117893"/>
        <rFont val="Calibri"/>
        <scheme val="minor"/>
      </rPr>
      <t xml:space="preserve"> 57 (1), 289–300.
</t>
    </r>
    <r>
      <rPr>
        <vertAlign val="superscript"/>
        <sz val="11"/>
        <color theme="1" tint="0.249977111117893"/>
        <rFont val="Calibri"/>
        <scheme val="minor"/>
      </rPr>
      <t>c</t>
    </r>
    <r>
      <rPr>
        <sz val="11"/>
        <color theme="1" tint="0.249977111117893"/>
        <rFont val="Calibri"/>
        <scheme val="minor"/>
      </rPr>
      <t xml:space="preserve"> Crawford, J. R., Garthwaite, P. H., Denham, A. K., &amp; Chelune, G. J. (2012). Using regression equations built from summary data in the psychological assessment of the individual case: extension to multiple regression. </t>
    </r>
    <r>
      <rPr>
        <i/>
        <sz val="11"/>
        <color theme="1" tint="0.249977111117893"/>
        <rFont val="Calibri"/>
        <scheme val="minor"/>
      </rPr>
      <t>Psychological Assessment</t>
    </r>
    <r>
      <rPr>
        <sz val="11"/>
        <color theme="1" tint="0.249977111117893"/>
        <rFont val="Calibri"/>
        <scheme val="minor"/>
      </rPr>
      <t xml:space="preserve">, 24(4), 801-814.
</t>
    </r>
    <r>
      <rPr>
        <vertAlign val="superscript"/>
        <sz val="11"/>
        <color theme="1" tint="0.249977111117893"/>
        <rFont val="Calibri"/>
        <scheme val="minor"/>
      </rPr>
      <t>d</t>
    </r>
    <r>
      <rPr>
        <sz val="11"/>
        <color theme="1" tint="0.249977111117893"/>
        <rFont val="Calibri"/>
        <scheme val="minor"/>
      </rPr>
      <t xml:space="preserve"> Crawford, J.R., &amp; Garthwaite, P.H. (2006). Comparing patients' predicted test scores from a regression equation with their obtained scores: a significance test and point estimate of abnormality with accompanying confidence limits. </t>
    </r>
    <r>
      <rPr>
        <i/>
        <sz val="11"/>
        <color theme="1" tint="0.249977111117893"/>
        <rFont val="Calibri"/>
        <scheme val="minor"/>
      </rPr>
      <t>Neuropsychology</t>
    </r>
    <r>
      <rPr>
        <sz val="11"/>
        <color theme="1" tint="0.249977111117893"/>
        <rFont val="Calibri"/>
        <scheme val="minor"/>
      </rPr>
      <t xml:space="preserve">, 20(3), 259-271.
  * We would like to thank Bryan W. Griffin and Charles Zaiontz for their codes on non-central </t>
    </r>
    <r>
      <rPr>
        <i/>
        <sz val="11"/>
        <color theme="1" tint="0.249977111117893"/>
        <rFont val="Calibri"/>
        <scheme val="minor"/>
      </rPr>
      <t>t</t>
    </r>
    <r>
      <rPr>
        <sz val="11"/>
        <color theme="1" tint="0.249977111117893"/>
        <rFont val="Calibri"/>
        <scheme val="minor"/>
      </rPr>
      <t>-distribution: http://www.bwgriffin.com/samplesize/samplesize.htm http://www.real-statistics.com/students-t-distribution/noncentral-t-distribution/
  ** To prevent user errors, cells are locked. To modify, unprotect the worksheet there is no password.</t>
    </r>
  </si>
  <si>
    <r>
      <rPr>
        <b/>
        <sz val="16"/>
        <rFont val="Calibri"/>
        <scheme val="minor"/>
      </rPr>
      <t xml:space="preserve">*Instructions*
</t>
    </r>
    <r>
      <rPr>
        <b/>
        <sz val="6"/>
        <rFont val="Calibri"/>
        <scheme val="minor"/>
      </rPr>
      <t xml:space="preserve"> </t>
    </r>
    <r>
      <rPr>
        <sz val="6"/>
        <rFont val="Calibri"/>
        <scheme val="minor"/>
      </rPr>
      <t xml:space="preserve">
</t>
    </r>
    <r>
      <rPr>
        <b/>
        <sz val="16"/>
        <rFont val="Calibri"/>
        <scheme val="minor"/>
      </rPr>
      <t>1.</t>
    </r>
    <r>
      <rPr>
        <sz val="16"/>
        <rFont val="Calibri"/>
        <scheme val="minor"/>
      </rPr>
      <t xml:space="preserve"> Enter the individual and scanner characteristics and enable macros.
</t>
    </r>
    <r>
      <rPr>
        <b/>
        <sz val="16"/>
        <rFont val="Calibri"/>
        <scheme val="minor"/>
      </rPr>
      <t>2.</t>
    </r>
    <r>
      <rPr>
        <sz val="16"/>
        <rFont val="Calibri"/>
        <scheme val="minor"/>
      </rPr>
      <t xml:space="preserve"> Enter the observed surfaces and the estimated intracranial volume generated by </t>
    </r>
    <r>
      <rPr>
        <i/>
        <sz val="16"/>
        <rFont val="Calibri"/>
        <scheme val="minor"/>
      </rPr>
      <t>FreeSurfer</t>
    </r>
    <r>
      <rPr>
        <sz val="16"/>
        <rFont val="Calibri"/>
        <scheme val="minor"/>
      </rPr>
      <t xml:space="preserve"> using the button on the right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</si>
</sst>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0000"/>
    <numFmt numFmtId="166" formatCode="0.000"/>
    <numFmt numFmtId="167" formatCode="0.0%"/>
    <numFmt numFmtId="168" formatCode="0.00000"/>
    <numFmt numFmtId="169" formatCode="0.0000"/>
    <numFmt numFmtId="170" formatCode="0.000000"/>
  </numFmts>
  <fonts count="4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24"/>
      <color theme="1" tint="0.249977111117893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4"/>
      <color theme="1" tint="0.249977111117893"/>
      <name val="Calibri"/>
      <family val="2"/>
      <scheme val="minor"/>
    </font>
    <font>
      <sz val="14"/>
      <color theme="1" tint="0.249977111117893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16"/>
      <color theme="1" tint="0.249977111117893"/>
      <name val="Calibri"/>
      <family val="2"/>
      <scheme val="minor"/>
    </font>
    <font>
      <i/>
      <sz val="14"/>
      <color theme="1" tint="0.249977111117893"/>
      <name val="Calibri"/>
      <family val="2"/>
      <scheme val="minor"/>
    </font>
    <font>
      <b/>
      <vertAlign val="superscript"/>
      <sz val="14"/>
      <color theme="1" tint="0.249977111117893"/>
      <name val="Calibri"/>
      <scheme val="minor"/>
    </font>
    <font>
      <b/>
      <sz val="16"/>
      <color theme="1" tint="0.249977111117893"/>
      <name val="Calibri"/>
      <scheme val="minor"/>
    </font>
    <font>
      <sz val="8"/>
      <name val="Calibri"/>
      <family val="2"/>
      <scheme val="minor"/>
    </font>
    <font>
      <b/>
      <sz val="12"/>
      <color rgb="FF000000"/>
      <name val="Calibri"/>
      <scheme val="minor"/>
    </font>
    <font>
      <vertAlign val="superscript"/>
      <sz val="14"/>
      <color theme="1" tint="0.249977111117893"/>
      <name val="Calibri"/>
      <scheme val="minor"/>
    </font>
    <font>
      <vertAlign val="subscript"/>
      <sz val="14"/>
      <color theme="1" tint="0.249977111117893"/>
      <name val="Calibri"/>
      <scheme val="minor"/>
    </font>
    <font>
      <sz val="10"/>
      <color rgb="FF000000"/>
      <name val="Calibri"/>
      <scheme val="minor"/>
    </font>
    <font>
      <b/>
      <sz val="10"/>
      <color rgb="FF000000"/>
      <name val="Calibri"/>
      <scheme val="minor"/>
    </font>
    <font>
      <sz val="10"/>
      <color theme="1"/>
      <name val="Calibri"/>
      <scheme val="minor"/>
    </font>
    <font>
      <b/>
      <sz val="10"/>
      <color theme="1"/>
      <name val="Calibri"/>
      <scheme val="minor"/>
    </font>
    <font>
      <i/>
      <sz val="10"/>
      <color theme="1"/>
      <name val="Calibri"/>
      <scheme val="minor"/>
    </font>
    <font>
      <i/>
      <sz val="10"/>
      <color rgb="FF000000"/>
      <name val="Calibri"/>
      <scheme val="minor"/>
    </font>
    <font>
      <sz val="11"/>
      <color theme="1"/>
      <name val="Calibri"/>
      <family val="2"/>
      <scheme val="minor"/>
    </font>
    <font>
      <sz val="12"/>
      <color indexed="206"/>
      <name val="Calibri"/>
      <family val="2"/>
    </font>
    <font>
      <sz val="16"/>
      <name val="Calibri"/>
      <scheme val="minor"/>
    </font>
    <font>
      <b/>
      <sz val="16"/>
      <name val="Calibri"/>
      <scheme val="minor"/>
    </font>
    <font>
      <i/>
      <sz val="16"/>
      <name val="Calibri"/>
      <scheme val="minor"/>
    </font>
    <font>
      <sz val="15"/>
      <color theme="1" tint="0.249977111117893"/>
      <name val="Calibri"/>
      <scheme val="minor"/>
    </font>
    <font>
      <sz val="12"/>
      <name val="Calibri"/>
      <scheme val="minor"/>
    </font>
    <font>
      <b/>
      <i/>
      <sz val="14"/>
      <color indexed="23"/>
      <name val="Calibri"/>
      <family val="2"/>
      <scheme val="minor"/>
    </font>
    <font>
      <sz val="12"/>
      <color rgb="FF000000"/>
      <name val="Helvetica"/>
    </font>
    <font>
      <sz val="6"/>
      <name val="Calibri"/>
      <scheme val="minor"/>
    </font>
    <font>
      <b/>
      <sz val="6"/>
      <name val="Calibri"/>
      <scheme val="minor"/>
    </font>
    <font>
      <sz val="11"/>
      <color theme="1" tint="0.249977111117893"/>
      <name val="Calibri"/>
      <scheme val="minor"/>
    </font>
    <font>
      <vertAlign val="subscript"/>
      <sz val="11"/>
      <color theme="1" tint="0.249977111117893"/>
      <name val="Calibri"/>
      <scheme val="minor"/>
    </font>
    <font>
      <vertAlign val="superscript"/>
      <sz val="11"/>
      <color theme="1" tint="0.249977111117893"/>
      <name val="Calibri"/>
      <scheme val="minor"/>
    </font>
    <font>
      <i/>
      <sz val="11"/>
      <color theme="1" tint="0.249977111117893"/>
      <name val="Calibri"/>
      <scheme val="minor"/>
    </font>
    <font>
      <sz val="26"/>
      <color theme="1" tint="0.249977111117893"/>
      <name val="Calibri"/>
      <scheme val="minor"/>
    </font>
    <font>
      <b/>
      <sz val="16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4" tint="0.59999389629810485"/>
        <bgColor indexed="64"/>
      </patternFill>
    </fill>
  </fills>
  <borders count="57">
    <border>
      <left/>
      <right/>
      <top/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 style="thin">
        <color theme="1" tint="0.249977111117893"/>
      </left>
      <right/>
      <top/>
      <bottom/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 style="medium">
        <color theme="9"/>
      </left>
      <right/>
      <top style="medium">
        <color theme="9"/>
      </top>
      <bottom style="medium">
        <color theme="9"/>
      </bottom>
      <diagonal/>
    </border>
    <border>
      <left/>
      <right/>
      <top/>
      <bottom style="thin">
        <color auto="1"/>
      </bottom>
      <diagonal/>
    </border>
    <border>
      <left style="thin">
        <color theme="1" tint="0.249977111117893"/>
      </left>
      <right style="thin">
        <color theme="1" tint="0.249977111117893"/>
      </right>
      <top/>
      <bottom style="medium">
        <color theme="9"/>
      </bottom>
      <diagonal/>
    </border>
    <border>
      <left style="thin">
        <color theme="1" tint="0.249977111117893"/>
      </left>
      <right/>
      <top/>
      <bottom style="medium">
        <color theme="9"/>
      </bottom>
      <diagonal/>
    </border>
    <border>
      <left/>
      <right style="dotted">
        <color theme="1" tint="0.249977111117893"/>
      </right>
      <top/>
      <bottom/>
      <diagonal/>
    </border>
    <border>
      <left style="medium">
        <color theme="9"/>
      </left>
      <right style="medium">
        <color theme="9"/>
      </right>
      <top/>
      <bottom/>
      <diagonal/>
    </border>
    <border>
      <left/>
      <right style="thin">
        <color theme="1" tint="0.249977111117893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theme="1" tint="0.249977111117893"/>
      </right>
      <top style="thin">
        <color auto="1"/>
      </top>
      <bottom/>
      <diagonal/>
    </border>
    <border>
      <left style="thin">
        <color theme="1" tint="0.249977111117893"/>
      </left>
      <right style="dotted">
        <color theme="1" tint="0.249977111117893"/>
      </right>
      <top style="thin">
        <color auto="1"/>
      </top>
      <bottom/>
      <diagonal/>
    </border>
    <border>
      <left style="thin">
        <color auto="1"/>
      </left>
      <right style="thin">
        <color theme="1" tint="0.249977111117893"/>
      </right>
      <top/>
      <bottom/>
      <diagonal/>
    </border>
    <border>
      <left style="thin">
        <color auto="1"/>
      </left>
      <right style="thin">
        <color theme="1" tint="0.249977111117893"/>
      </right>
      <top/>
      <bottom style="thin">
        <color auto="1"/>
      </bottom>
      <diagonal/>
    </border>
    <border>
      <left style="thin">
        <color theme="1" tint="0.249977111117893"/>
      </left>
      <right/>
      <top/>
      <bottom style="thin">
        <color auto="1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/>
      <diagonal/>
    </border>
    <border>
      <left style="dotted">
        <color theme="1" tint="0.249977111117893"/>
      </left>
      <right/>
      <top/>
      <bottom/>
      <diagonal/>
    </border>
    <border>
      <left style="dotted">
        <color theme="1" tint="0.249977111117893"/>
      </left>
      <right/>
      <top style="thin">
        <color auto="1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 style="medium">
        <color theme="9"/>
      </top>
      <bottom/>
      <diagonal/>
    </border>
    <border>
      <left style="thin">
        <color auto="1"/>
      </left>
      <right style="dotted">
        <color theme="1" tint="0.249977111117893"/>
      </right>
      <top style="thin">
        <color auto="1"/>
      </top>
      <bottom/>
      <diagonal/>
    </border>
    <border>
      <left style="thin">
        <color auto="1"/>
      </left>
      <right style="dotted">
        <color theme="1" tint="0.249977111117893"/>
      </right>
      <top/>
      <bottom/>
      <diagonal/>
    </border>
    <border>
      <left style="thin">
        <color auto="1"/>
      </left>
      <right style="dotted">
        <color theme="1" tint="0.249977111117893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1" tint="0.249977111117893"/>
      </left>
      <right/>
      <top style="thin">
        <color auto="1"/>
      </top>
      <bottom/>
      <diagonal/>
    </border>
    <border>
      <left style="medium">
        <color theme="9"/>
      </left>
      <right style="dotted">
        <color theme="1" tint="0.249977111117893"/>
      </right>
      <top/>
      <bottom style="thin">
        <color auto="1"/>
      </bottom>
      <diagonal/>
    </border>
    <border>
      <left style="thin">
        <color theme="1" tint="0.249977111117893"/>
      </left>
      <right style="dotted">
        <color theme="1" tint="0.249977111117893"/>
      </right>
      <top/>
      <bottom style="thin">
        <color auto="1"/>
      </bottom>
      <diagonal/>
    </border>
    <border>
      <left style="dotted">
        <color theme="1" tint="0.249977111117893"/>
      </left>
      <right/>
      <top/>
      <bottom style="thin">
        <color auto="1"/>
      </bottom>
      <diagonal/>
    </border>
    <border>
      <left style="hair">
        <color theme="1" tint="0.249977111117893"/>
      </left>
      <right/>
      <top/>
      <bottom style="thin">
        <color auto="1"/>
      </bottom>
      <diagonal/>
    </border>
    <border>
      <left style="medium">
        <color theme="9"/>
      </left>
      <right style="medium">
        <color theme="9"/>
      </right>
      <top/>
      <bottom style="thin">
        <color auto="1"/>
      </bottom>
      <diagonal/>
    </border>
    <border>
      <left style="thin">
        <color theme="1" tint="0.249977111117893"/>
      </left>
      <right style="thin">
        <color auto="1"/>
      </right>
      <top/>
      <bottom/>
      <diagonal/>
    </border>
    <border>
      <left style="thin">
        <color theme="1" tint="0.249977111117893"/>
      </left>
      <right style="thin">
        <color auto="1"/>
      </right>
      <top/>
      <bottom style="medium">
        <color theme="9"/>
      </bottom>
      <diagonal/>
    </border>
    <border>
      <left style="thin">
        <color auto="1"/>
      </left>
      <right style="hair">
        <color theme="1" tint="0.249977111117893"/>
      </right>
      <top style="thin">
        <color auto="1"/>
      </top>
      <bottom/>
      <diagonal/>
    </border>
    <border>
      <left style="thin">
        <color auto="1"/>
      </left>
      <right style="hair">
        <color theme="1" tint="0.249977111117893"/>
      </right>
      <top/>
      <bottom/>
      <diagonal/>
    </border>
    <border>
      <left style="thin">
        <color auto="1"/>
      </left>
      <right style="hair">
        <color theme="1" tint="0.249977111117893"/>
      </right>
      <top/>
      <bottom style="thin">
        <color auto="1"/>
      </bottom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auto="1"/>
      </bottom>
      <diagonal/>
    </border>
    <border>
      <left/>
      <right/>
      <top style="thin">
        <color theme="1" tint="0.249977111117893"/>
      </top>
      <bottom style="thin">
        <color auto="1"/>
      </bottom>
      <diagonal/>
    </border>
    <border>
      <left/>
      <right style="thin">
        <color auto="1"/>
      </right>
      <top style="thin">
        <color theme="1" tint="0.249977111117893"/>
      </top>
      <bottom style="thin">
        <color auto="1"/>
      </bottom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/>
      <right/>
      <top/>
      <bottom style="medium">
        <color theme="9"/>
      </bottom>
      <diagonal/>
    </border>
    <border>
      <left/>
      <right/>
      <top style="medium">
        <color theme="9"/>
      </top>
      <bottom style="thin">
        <color auto="1"/>
      </bottom>
      <diagonal/>
    </border>
  </borders>
  <cellStyleXfs count="135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4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07">
    <xf numFmtId="0" fontId="0" fillId="0" borderId="0" xfId="0"/>
    <xf numFmtId="11" fontId="20" fillId="4" borderId="0" xfId="0" applyNumberFormat="1" applyFont="1" applyFill="1" applyBorder="1" applyAlignment="1">
      <alignment horizontal="center" vertical="center"/>
    </xf>
    <xf numFmtId="11" fontId="21" fillId="4" borderId="0" xfId="0" applyNumberFormat="1" applyFont="1" applyFill="1" applyBorder="1" applyAlignment="1">
      <alignment horizontal="center" vertical="center"/>
    </xf>
    <xf numFmtId="11" fontId="18" fillId="4" borderId="0" xfId="0" applyNumberFormat="1" applyFont="1" applyFill="1" applyBorder="1" applyAlignment="1">
      <alignment horizontal="center" vertical="center"/>
    </xf>
    <xf numFmtId="11" fontId="19" fillId="4" borderId="0" xfId="0" applyNumberFormat="1" applyFont="1" applyFill="1" applyBorder="1" applyAlignment="1">
      <alignment horizontal="center" vertical="center"/>
    </xf>
    <xf numFmtId="2" fontId="20" fillId="4" borderId="0" xfId="0" applyNumberFormat="1" applyFont="1" applyFill="1" applyBorder="1" applyAlignment="1">
      <alignment horizontal="center" vertical="center" wrapText="1"/>
    </xf>
    <xf numFmtId="11" fontId="20" fillId="4" borderId="0" xfId="0" applyNumberFormat="1" applyFont="1" applyFill="1" applyBorder="1" applyAlignment="1">
      <alignment horizontal="center" vertical="center" wrapText="1"/>
    </xf>
    <xf numFmtId="11" fontId="21" fillId="4" borderId="0" xfId="0" applyNumberFormat="1" applyFont="1" applyFill="1" applyBorder="1" applyAlignment="1">
      <alignment horizontal="center" vertical="center" wrapText="1"/>
    </xf>
    <xf numFmtId="11" fontId="22" fillId="4" borderId="0" xfId="0" applyNumberFormat="1" applyFont="1" applyFill="1" applyBorder="1" applyAlignment="1">
      <alignment horizontal="center" vertical="center" wrapText="1"/>
    </xf>
    <xf numFmtId="1" fontId="20" fillId="4" borderId="0" xfId="0" applyNumberFormat="1" applyFont="1" applyFill="1" applyBorder="1" applyAlignment="1">
      <alignment horizontal="center" vertical="center"/>
    </xf>
    <xf numFmtId="11" fontId="22" fillId="4" borderId="0" xfId="0" applyNumberFormat="1" applyFont="1" applyFill="1" applyBorder="1" applyAlignment="1">
      <alignment horizontal="center" vertical="center"/>
    </xf>
    <xf numFmtId="11" fontId="21" fillId="4" borderId="0" xfId="0" applyNumberFormat="1" applyFont="1" applyFill="1" applyBorder="1" applyAlignment="1" applyProtection="1">
      <alignment horizontal="center" vertical="center"/>
    </xf>
    <xf numFmtId="11" fontId="20" fillId="4" borderId="0" xfId="0" applyNumberFormat="1" applyFont="1" applyFill="1" applyBorder="1" applyAlignment="1" applyProtection="1">
      <alignment horizontal="center" vertical="center"/>
    </xf>
    <xf numFmtId="1" fontId="20" fillId="4" borderId="0" xfId="0" applyNumberFormat="1" applyFont="1" applyFill="1" applyBorder="1" applyAlignment="1" applyProtection="1">
      <alignment horizontal="center" vertical="center"/>
    </xf>
    <xf numFmtId="11" fontId="22" fillId="4" borderId="0" xfId="0" applyNumberFormat="1" applyFont="1" applyFill="1" applyBorder="1" applyAlignment="1" applyProtection="1">
      <alignment horizontal="center" vertical="center"/>
    </xf>
    <xf numFmtId="2" fontId="20" fillId="4" borderId="0" xfId="0" applyNumberFormat="1" applyFont="1" applyFill="1" applyBorder="1" applyAlignment="1">
      <alignment horizontal="center" vertical="center"/>
    </xf>
    <xf numFmtId="11" fontId="23" fillId="4" borderId="0" xfId="0" applyNumberFormat="1" applyFont="1" applyFill="1" applyBorder="1" applyAlignment="1">
      <alignment horizontal="center" vertical="center"/>
    </xf>
    <xf numFmtId="11" fontId="2" fillId="6" borderId="0" xfId="0" applyNumberFormat="1" applyFont="1" applyFill="1" applyAlignment="1">
      <alignment horizontal="center" vertical="center"/>
    </xf>
    <xf numFmtId="11" fontId="15" fillId="9" borderId="0" xfId="0" applyNumberFormat="1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1" fontId="2" fillId="6" borderId="0" xfId="0" applyNumberFormat="1" applyFont="1" applyFill="1" applyAlignment="1">
      <alignment horizontal="center" vertical="center"/>
    </xf>
    <xf numFmtId="166" fontId="0" fillId="7" borderId="16" xfId="0" applyNumberFormat="1" applyFill="1" applyBorder="1" applyAlignment="1">
      <alignment horizontal="center"/>
    </xf>
    <xf numFmtId="2" fontId="0" fillId="7" borderId="16" xfId="0" applyNumberFormat="1" applyFill="1" applyBorder="1" applyAlignment="1">
      <alignment horizontal="center"/>
    </xf>
    <xf numFmtId="2" fontId="0" fillId="7" borderId="17" xfId="0" applyNumberFormat="1" applyFill="1" applyBorder="1" applyAlignment="1">
      <alignment horizontal="center"/>
    </xf>
    <xf numFmtId="166" fontId="0" fillId="7" borderId="0" xfId="0" applyNumberFormat="1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2" fontId="0" fillId="7" borderId="19" xfId="0" applyNumberFormat="1" applyFill="1" applyBorder="1" applyAlignment="1">
      <alignment horizontal="center"/>
    </xf>
    <xf numFmtId="166" fontId="0" fillId="7" borderId="6" xfId="0" applyNumberFormat="1" applyFill="1" applyBorder="1" applyAlignment="1">
      <alignment horizontal="center"/>
    </xf>
    <xf numFmtId="2" fontId="0" fillId="7" borderId="6" xfId="0" applyNumberFormat="1" applyFill="1" applyBorder="1" applyAlignment="1">
      <alignment horizontal="center"/>
    </xf>
    <xf numFmtId="2" fontId="0" fillId="7" borderId="21" xfId="0" applyNumberFormat="1" applyFill="1" applyBorder="1" applyAlignment="1">
      <alignment horizontal="center"/>
    </xf>
    <xf numFmtId="0" fontId="2" fillId="7" borderId="20" xfId="0" applyFont="1" applyFill="1" applyBorder="1" applyAlignment="1">
      <alignment horizontal="center"/>
    </xf>
    <xf numFmtId="0" fontId="7" fillId="5" borderId="4" xfId="0" applyFont="1" applyFill="1" applyBorder="1" applyAlignment="1" applyProtection="1">
      <alignment horizontal="center" vertical="center" wrapText="1"/>
      <protection locked="0"/>
    </xf>
    <xf numFmtId="164" fontId="8" fillId="4" borderId="10" xfId="0" applyNumberFormat="1" applyFont="1" applyFill="1" applyBorder="1" applyAlignment="1" applyProtection="1">
      <alignment horizontal="center" vertical="center"/>
      <protection locked="0"/>
    </xf>
    <xf numFmtId="0" fontId="30" fillId="0" borderId="0" xfId="0" applyFont="1"/>
    <xf numFmtId="0" fontId="31" fillId="2" borderId="2" xfId="0" applyFont="1" applyFill="1" applyBorder="1" applyAlignment="1" applyProtection="1">
      <alignment horizontal="center" vertical="center" wrapText="1"/>
      <protection locked="0"/>
    </xf>
    <xf numFmtId="0" fontId="5" fillId="3" borderId="0" xfId="0" applyFont="1" applyFill="1" applyBorder="1" applyAlignment="1" applyProtection="1"/>
    <xf numFmtId="0" fontId="6" fillId="0" borderId="0" xfId="0" applyFont="1" applyBorder="1" applyProtection="1"/>
    <xf numFmtId="0" fontId="5" fillId="4" borderId="3" xfId="0" applyFont="1" applyFill="1" applyBorder="1" applyAlignment="1" applyProtection="1">
      <alignment horizontal="left" vertical="center"/>
    </xf>
    <xf numFmtId="0" fontId="5" fillId="4" borderId="0" xfId="0" applyFont="1" applyFill="1" applyBorder="1" applyAlignment="1" applyProtection="1">
      <alignment horizontal="left" vertical="center"/>
    </xf>
    <xf numFmtId="0" fontId="10" fillId="4" borderId="0" xfId="0" applyFont="1" applyFill="1" applyBorder="1" applyAlignment="1" applyProtection="1">
      <alignment vertical="center" wrapText="1"/>
    </xf>
    <xf numFmtId="0" fontId="6" fillId="4" borderId="0" xfId="0" applyFont="1" applyFill="1" applyBorder="1" applyProtection="1"/>
    <xf numFmtId="0" fontId="6" fillId="5" borderId="0" xfId="0" applyFont="1" applyFill="1" applyBorder="1" applyProtection="1"/>
    <xf numFmtId="0" fontId="8" fillId="2" borderId="2" xfId="0" applyFont="1" applyFill="1" applyBorder="1" applyAlignment="1" applyProtection="1">
      <alignment horizontal="center" vertical="center" wrapText="1"/>
    </xf>
    <xf numFmtId="0" fontId="29" fillId="4" borderId="0" xfId="0" applyFont="1" applyFill="1" applyBorder="1" applyAlignment="1" applyProtection="1">
      <alignment vertical="center" wrapText="1"/>
    </xf>
    <xf numFmtId="0" fontId="10" fillId="4" borderId="6" xfId="0" applyFont="1" applyFill="1" applyBorder="1" applyAlignment="1" applyProtection="1">
      <alignment vertical="center" wrapText="1"/>
    </xf>
    <xf numFmtId="0" fontId="10" fillId="4" borderId="0" xfId="0" applyFont="1" applyFill="1" applyBorder="1" applyAlignment="1" applyProtection="1">
      <alignment vertical="center"/>
    </xf>
    <xf numFmtId="0" fontId="10" fillId="5" borderId="0" xfId="0" applyFont="1" applyFill="1" applyBorder="1" applyAlignment="1" applyProtection="1">
      <alignment vertical="center"/>
    </xf>
    <xf numFmtId="0" fontId="7" fillId="2" borderId="24" xfId="0" applyFont="1" applyFill="1" applyBorder="1" applyAlignment="1" applyProtection="1">
      <alignment vertical="center"/>
    </xf>
    <xf numFmtId="0" fontId="7" fillId="2" borderId="2" xfId="0" applyFont="1" applyFill="1" applyBorder="1" applyAlignment="1" applyProtection="1">
      <alignment horizontal="center" vertical="center" wrapText="1"/>
    </xf>
    <xf numFmtId="0" fontId="8" fillId="2" borderId="25" xfId="0" applyFont="1" applyFill="1" applyBorder="1" applyAlignment="1" applyProtection="1">
      <alignment vertical="top"/>
    </xf>
    <xf numFmtId="0" fontId="8" fillId="2" borderId="26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11" fillId="2" borderId="6" xfId="0" applyFont="1" applyFill="1" applyBorder="1" applyAlignment="1" applyProtection="1">
      <alignment horizontal="center" vertical="center" wrapText="1"/>
    </xf>
    <xf numFmtId="0" fontId="11" fillId="2" borderId="11" xfId="0" applyFont="1" applyFill="1" applyBorder="1" applyAlignment="1" applyProtection="1">
      <alignment horizontal="center" vertical="center" wrapText="1"/>
    </xf>
    <xf numFmtId="0" fontId="8" fillId="2" borderId="6" xfId="0" applyFont="1" applyFill="1" applyBorder="1" applyAlignment="1" applyProtection="1">
      <alignment horizontal="center" vertical="center" wrapText="1"/>
    </xf>
    <xf numFmtId="0" fontId="6" fillId="4" borderId="0" xfId="0" applyFont="1" applyFill="1" applyBorder="1" applyAlignment="1" applyProtection="1">
      <alignment horizontal="center" vertical="center"/>
    </xf>
    <xf numFmtId="0" fontId="8" fillId="4" borderId="15" xfId="0" applyFont="1" applyFill="1" applyBorder="1" applyAlignment="1" applyProtection="1">
      <alignment vertical="center"/>
    </xf>
    <xf numFmtId="164" fontId="8" fillId="4" borderId="9" xfId="0" applyNumberFormat="1" applyFont="1" applyFill="1" applyBorder="1" applyAlignment="1" applyProtection="1">
      <alignment horizontal="center" vertical="center"/>
    </xf>
    <xf numFmtId="164" fontId="8" fillId="4" borderId="16" xfId="0" applyNumberFormat="1" applyFont="1" applyFill="1" applyBorder="1" applyAlignment="1" applyProtection="1">
      <alignment horizontal="center" vertical="center"/>
    </xf>
    <xf numFmtId="164" fontId="8" fillId="4" borderId="22" xfId="0" applyNumberFormat="1" applyFont="1" applyFill="1" applyBorder="1" applyAlignment="1" applyProtection="1">
      <alignment horizontal="center" vertical="center"/>
    </xf>
    <xf numFmtId="166" fontId="8" fillId="4" borderId="16" xfId="0" applyNumberFormat="1" applyFont="1" applyFill="1" applyBorder="1" applyAlignment="1" applyProtection="1">
      <alignment horizontal="center" vertical="center"/>
    </xf>
    <xf numFmtId="2" fontId="8" fillId="4" borderId="23" xfId="0" applyNumberFormat="1" applyFont="1" applyFill="1" applyBorder="1" applyAlignment="1" applyProtection="1">
      <alignment horizontal="center" vertical="center"/>
    </xf>
    <xf numFmtId="2" fontId="8" fillId="4" borderId="29" xfId="0" applyNumberFormat="1" applyFont="1" applyFill="1" applyBorder="1" applyAlignment="1" applyProtection="1">
      <alignment horizontal="center" vertical="center"/>
    </xf>
    <xf numFmtId="2" fontId="8" fillId="4" borderId="9" xfId="0" applyNumberFormat="1" applyFont="1" applyFill="1" applyBorder="1" applyAlignment="1" applyProtection="1">
      <alignment horizontal="center" vertical="center"/>
    </xf>
    <xf numFmtId="167" fontId="8" fillId="4" borderId="33" xfId="105" applyNumberFormat="1" applyFont="1" applyFill="1" applyBorder="1" applyAlignment="1" applyProtection="1">
      <alignment horizontal="center" vertical="center"/>
    </xf>
    <xf numFmtId="164" fontId="8" fillId="4" borderId="28" xfId="0" applyNumberFormat="1" applyFont="1" applyFill="1" applyBorder="1" applyAlignment="1" applyProtection="1">
      <alignment horizontal="center" vertical="center"/>
    </xf>
    <xf numFmtId="164" fontId="8" fillId="4" borderId="19" xfId="0" applyNumberFormat="1" applyFont="1" applyFill="1" applyBorder="1" applyAlignment="1" applyProtection="1">
      <alignment horizontal="center" vertical="center"/>
    </xf>
    <xf numFmtId="168" fontId="6" fillId="4" borderId="0" xfId="0" applyNumberFormat="1" applyFont="1" applyFill="1" applyBorder="1" applyProtection="1"/>
    <xf numFmtId="0" fontId="6" fillId="4" borderId="0" xfId="0" applyFont="1" applyFill="1" applyBorder="1" applyAlignment="1" applyProtection="1">
      <alignment horizontal="center"/>
    </xf>
    <xf numFmtId="0" fontId="8" fillId="4" borderId="18" xfId="0" applyFont="1" applyFill="1" applyBorder="1" applyAlignment="1" applyProtection="1">
      <alignment vertical="center"/>
    </xf>
    <xf numFmtId="164" fontId="8" fillId="4" borderId="1" xfId="0" applyNumberFormat="1" applyFont="1" applyFill="1" applyBorder="1" applyAlignment="1" applyProtection="1">
      <alignment horizontal="center" vertical="center"/>
    </xf>
    <xf numFmtId="166" fontId="8" fillId="4" borderId="0" xfId="0" applyNumberFormat="1" applyFont="1" applyFill="1" applyBorder="1" applyAlignment="1" applyProtection="1">
      <alignment horizontal="center" vertical="center"/>
    </xf>
    <xf numFmtId="2" fontId="8" fillId="4" borderId="28" xfId="0" applyNumberFormat="1" applyFont="1" applyFill="1" applyBorder="1" applyAlignment="1" applyProtection="1">
      <alignment horizontal="center" vertical="center"/>
    </xf>
    <xf numFmtId="2" fontId="8" fillId="4" borderId="1" xfId="0" applyNumberFormat="1" applyFont="1" applyFill="1" applyBorder="1" applyAlignment="1" applyProtection="1">
      <alignment horizontal="center" vertical="center"/>
    </xf>
    <xf numFmtId="167" fontId="8" fillId="4" borderId="34" xfId="105" applyNumberFormat="1" applyFont="1" applyFill="1" applyBorder="1" applyAlignment="1" applyProtection="1">
      <alignment horizontal="center" vertical="center"/>
    </xf>
    <xf numFmtId="165" fontId="6" fillId="4" borderId="0" xfId="0" applyNumberFormat="1" applyFont="1" applyFill="1" applyBorder="1" applyAlignment="1" applyProtection="1">
      <alignment horizontal="center"/>
    </xf>
    <xf numFmtId="0" fontId="8" fillId="4" borderId="18" xfId="0" applyFont="1" applyFill="1" applyBorder="1" applyAlignment="1" applyProtection="1">
      <alignment horizontal="left" vertical="center" wrapText="1"/>
    </xf>
    <xf numFmtId="164" fontId="8" fillId="4" borderId="0" xfId="0" applyNumberFormat="1" applyFont="1" applyFill="1" applyBorder="1" applyAlignment="1" applyProtection="1">
      <alignment horizontal="center" vertical="center"/>
    </xf>
    <xf numFmtId="164" fontId="6" fillId="4" borderId="0" xfId="0" applyNumberFormat="1" applyFont="1" applyFill="1" applyBorder="1" applyAlignment="1" applyProtection="1">
      <alignment horizontal="center"/>
    </xf>
    <xf numFmtId="1" fontId="6" fillId="4" borderId="0" xfId="0" applyNumberFormat="1" applyFont="1" applyFill="1" applyBorder="1" applyAlignment="1" applyProtection="1">
      <alignment horizontal="center"/>
    </xf>
    <xf numFmtId="1" fontId="6" fillId="0" borderId="0" xfId="0" applyNumberFormat="1" applyFont="1" applyBorder="1" applyAlignment="1" applyProtection="1">
      <alignment horizontal="center"/>
    </xf>
    <xf numFmtId="11" fontId="6" fillId="0" borderId="0" xfId="0" applyNumberFormat="1" applyFont="1" applyBorder="1" applyAlignment="1" applyProtection="1">
      <alignment horizontal="center" vertical="center"/>
    </xf>
    <xf numFmtId="2" fontId="9" fillId="0" borderId="0" xfId="0" applyNumberFormat="1" applyFont="1" applyBorder="1" applyAlignment="1" applyProtection="1">
      <alignment horizontal="center" vertical="center"/>
    </xf>
    <xf numFmtId="0" fontId="8" fillId="4" borderId="18" xfId="0" applyFont="1" applyFill="1" applyBorder="1" applyAlignment="1" applyProtection="1">
      <alignment horizontal="left" vertical="center" wrapText="1" indent="2"/>
    </xf>
    <xf numFmtId="0" fontId="8" fillId="4" borderId="20" xfId="0" applyFont="1" applyFill="1" applyBorder="1" applyAlignment="1" applyProtection="1">
      <alignment horizontal="left" vertical="center" wrapText="1"/>
    </xf>
    <xf numFmtId="167" fontId="8" fillId="4" borderId="35" xfId="105" applyNumberFormat="1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vertical="center" wrapText="1"/>
    </xf>
    <xf numFmtId="0" fontId="8" fillId="0" borderId="0" xfId="0" applyFont="1" applyBorder="1" applyProtection="1"/>
    <xf numFmtId="0" fontId="6" fillId="0" borderId="0" xfId="0" applyFont="1" applyFill="1" applyBorder="1" applyProtection="1"/>
    <xf numFmtId="0" fontId="6" fillId="0" borderId="0" xfId="0" applyFont="1" applyFill="1" applyBorder="1" applyAlignment="1" applyProtection="1">
      <alignment horizontal="center" vertical="center"/>
    </xf>
    <xf numFmtId="2" fontId="8" fillId="4" borderId="41" xfId="0" applyNumberFormat="1" applyFont="1" applyFill="1" applyBorder="1" applyAlignment="1" applyProtection="1">
      <alignment horizontal="center" vertical="center"/>
    </xf>
    <xf numFmtId="2" fontId="8" fillId="4" borderId="42" xfId="0" applyNumberFormat="1" applyFont="1" applyFill="1" applyBorder="1" applyAlignment="1" applyProtection="1">
      <alignment horizontal="center" vertical="center"/>
    </xf>
    <xf numFmtId="2" fontId="8" fillId="4" borderId="11" xfId="0" applyNumberFormat="1" applyFont="1" applyFill="1" applyBorder="1" applyAlignment="1" applyProtection="1">
      <alignment horizontal="center" vertical="center"/>
    </xf>
    <xf numFmtId="164" fontId="8" fillId="4" borderId="42" xfId="0" applyNumberFormat="1" applyFont="1" applyFill="1" applyBorder="1" applyAlignment="1" applyProtection="1">
      <alignment horizontal="center" vertical="center"/>
    </xf>
    <xf numFmtId="164" fontId="8" fillId="4" borderId="21" xfId="0" applyNumberFormat="1" applyFont="1" applyFill="1" applyBorder="1" applyAlignment="1" applyProtection="1">
      <alignment horizontal="center" vertical="center"/>
    </xf>
    <xf numFmtId="164" fontId="8" fillId="4" borderId="6" xfId="0" applyNumberFormat="1" applyFont="1" applyFill="1" applyBorder="1" applyAlignment="1" applyProtection="1">
      <alignment horizontal="center" vertical="center"/>
    </xf>
    <xf numFmtId="164" fontId="8" fillId="4" borderId="11" xfId="0" applyNumberFormat="1" applyFont="1" applyFill="1" applyBorder="1" applyAlignment="1" applyProtection="1">
      <alignment horizontal="center" vertical="center"/>
    </xf>
    <xf numFmtId="164" fontId="8" fillId="4" borderId="40" xfId="0" applyNumberFormat="1" applyFont="1" applyFill="1" applyBorder="1" applyAlignment="1" applyProtection="1">
      <alignment horizontal="center" vertical="center"/>
    </xf>
    <xf numFmtId="166" fontId="8" fillId="4" borderId="43" xfId="0" applyNumberFormat="1" applyFont="1" applyFill="1" applyBorder="1" applyAlignment="1" applyProtection="1">
      <alignment horizontal="center" vertical="center"/>
    </xf>
    <xf numFmtId="164" fontId="8" fillId="4" borderId="27" xfId="0" applyNumberFormat="1" applyFont="1" applyFill="1" applyBorder="1" applyAlignment="1" applyProtection="1">
      <alignment horizontal="center" vertical="center"/>
      <protection locked="0"/>
    </xf>
    <xf numFmtId="164" fontId="8" fillId="4" borderId="44" xfId="0" applyNumberFormat="1" applyFont="1" applyFill="1" applyBorder="1" applyAlignment="1" applyProtection="1">
      <alignment horizontal="center" vertical="center"/>
      <protection locked="0"/>
    </xf>
    <xf numFmtId="0" fontId="8" fillId="2" borderId="8" xfId="0" applyFont="1" applyFill="1" applyBorder="1" applyAlignment="1" applyProtection="1">
      <alignment horizontal="center" vertical="center" wrapText="1"/>
    </xf>
    <xf numFmtId="0" fontId="7" fillId="5" borderId="5" xfId="0" applyFont="1" applyFill="1" applyBorder="1" applyAlignment="1" applyProtection="1">
      <alignment horizontal="center" vertical="center" wrapText="1"/>
      <protection locked="0"/>
    </xf>
    <xf numFmtId="1" fontId="7" fillId="5" borderId="4" xfId="0" applyNumberFormat="1" applyFont="1" applyFill="1" applyBorder="1" applyAlignment="1" applyProtection="1">
      <alignment horizontal="center" vertical="center" wrapText="1"/>
      <protection locked="0"/>
    </xf>
    <xf numFmtId="0" fontId="10" fillId="4" borderId="0" xfId="0" applyFont="1" applyFill="1" applyBorder="1" applyAlignment="1" applyProtection="1">
      <alignment horizontal="center" vertical="center" wrapText="1"/>
    </xf>
    <xf numFmtId="0" fontId="0" fillId="7" borderId="0" xfId="0" applyFill="1"/>
    <xf numFmtId="0" fontId="2" fillId="7" borderId="38" xfId="0" applyFont="1" applyFill="1" applyBorder="1" applyAlignment="1">
      <alignment horizontal="center"/>
    </xf>
    <xf numFmtId="0" fontId="8" fillId="7" borderId="15" xfId="0" applyFont="1" applyFill="1" applyBorder="1" applyAlignment="1">
      <alignment vertical="center"/>
    </xf>
    <xf numFmtId="166" fontId="0" fillId="7" borderId="36" xfId="0" applyNumberFormat="1" applyFill="1" applyBorder="1" applyAlignment="1">
      <alignment horizontal="center"/>
    </xf>
    <xf numFmtId="0" fontId="8" fillId="7" borderId="18" xfId="0" applyFont="1" applyFill="1" applyBorder="1" applyAlignment="1">
      <alignment vertical="center"/>
    </xf>
    <xf numFmtId="166" fontId="0" fillId="7" borderId="37" xfId="0" applyNumberFormat="1" applyFill="1" applyBorder="1" applyAlignment="1">
      <alignment horizontal="center"/>
    </xf>
    <xf numFmtId="0" fontId="8" fillId="7" borderId="18" xfId="0" applyFont="1" applyFill="1" applyBorder="1" applyAlignment="1">
      <alignment horizontal="left" vertical="center" wrapText="1"/>
    </xf>
    <xf numFmtId="0" fontId="8" fillId="7" borderId="18" xfId="0" applyFont="1" applyFill="1" applyBorder="1" applyAlignment="1">
      <alignment horizontal="left" vertical="center" wrapText="1" indent="2"/>
    </xf>
    <xf numFmtId="0" fontId="8" fillId="7" borderId="20" xfId="0" applyFont="1" applyFill="1" applyBorder="1" applyAlignment="1">
      <alignment horizontal="left" vertical="center" wrapText="1"/>
    </xf>
    <xf numFmtId="166" fontId="0" fillId="7" borderId="38" xfId="0" applyNumberFormat="1" applyFill="1" applyBorder="1" applyAlignment="1">
      <alignment horizontal="center"/>
    </xf>
    <xf numFmtId="0" fontId="30" fillId="0" borderId="18" xfId="0" applyFont="1" applyBorder="1"/>
    <xf numFmtId="0" fontId="30" fillId="0" borderId="19" xfId="0" applyFont="1" applyBorder="1" applyAlignment="1">
      <alignment horizontal="left"/>
    </xf>
    <xf numFmtId="0" fontId="30" fillId="0" borderId="19" xfId="0" applyFont="1" applyFill="1" applyBorder="1" applyAlignment="1">
      <alignment horizontal="left" vertical="center"/>
    </xf>
    <xf numFmtId="0" fontId="30" fillId="0" borderId="20" xfId="0" applyFont="1" applyBorder="1"/>
    <xf numFmtId="0" fontId="30" fillId="0" borderId="21" xfId="0" applyFont="1" applyFill="1" applyBorder="1" applyAlignment="1">
      <alignment horizontal="left" vertical="center"/>
    </xf>
    <xf numFmtId="2" fontId="8" fillId="4" borderId="47" xfId="0" applyNumberFormat="1" applyFont="1" applyFill="1" applyBorder="1" applyAlignment="1" applyProtection="1">
      <alignment horizontal="center" vertical="center"/>
    </xf>
    <xf numFmtId="2" fontId="8" fillId="4" borderId="48" xfId="0" applyNumberFormat="1" applyFont="1" applyFill="1" applyBorder="1" applyAlignment="1" applyProtection="1">
      <alignment horizontal="center" vertical="center"/>
    </xf>
    <xf numFmtId="166" fontId="8" fillId="4" borderId="19" xfId="0" applyNumberFormat="1" applyFont="1" applyFill="1" applyBorder="1" applyAlignment="1" applyProtection="1">
      <alignment horizontal="center" vertical="center"/>
    </xf>
    <xf numFmtId="2" fontId="8" fillId="4" borderId="49" xfId="0" applyNumberFormat="1" applyFont="1" applyFill="1" applyBorder="1" applyAlignment="1" applyProtection="1">
      <alignment horizontal="center" vertical="center"/>
    </xf>
    <xf numFmtId="166" fontId="8" fillId="4" borderId="21" xfId="0" applyNumberFormat="1" applyFont="1" applyFill="1" applyBorder="1" applyAlignment="1" applyProtection="1">
      <alignment horizontal="center" vertical="center"/>
    </xf>
    <xf numFmtId="0" fontId="0" fillId="10" borderId="18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169" fontId="0" fillId="10" borderId="0" xfId="0" applyNumberFormat="1" applyFill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0" fillId="10" borderId="20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169" fontId="0" fillId="10" borderId="6" xfId="0" applyNumberFormat="1" applyFill="1" applyBorder="1" applyAlignment="1">
      <alignment horizontal="center" vertical="center"/>
    </xf>
    <xf numFmtId="0" fontId="0" fillId="10" borderId="21" xfId="0" applyFill="1" applyBorder="1" applyAlignment="1">
      <alignment horizontal="center" vertical="center"/>
    </xf>
    <xf numFmtId="0" fontId="15" fillId="10" borderId="20" xfId="0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horizontal="center" vertical="center"/>
    </xf>
    <xf numFmtId="0" fontId="15" fillId="10" borderId="6" xfId="0" applyFont="1" applyFill="1" applyBorder="1" applyAlignment="1">
      <alignment horizontal="center" vertical="center" wrapText="1"/>
    </xf>
    <xf numFmtId="0" fontId="15" fillId="10" borderId="21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7" fillId="2" borderId="7" xfId="0" applyFont="1" applyFill="1" applyBorder="1" applyAlignment="1" applyProtection="1">
      <alignment vertical="top" wrapText="1"/>
    </xf>
    <xf numFmtId="0" fontId="7" fillId="2" borderId="3" xfId="0" applyFont="1" applyFill="1" applyBorder="1" applyAlignment="1" applyProtection="1">
      <alignment horizontal="center" vertical="center" wrapText="1"/>
    </xf>
    <xf numFmtId="0" fontId="7" fillId="2" borderId="45" xfId="0" applyFont="1" applyFill="1" applyBorder="1" applyAlignment="1" applyProtection="1">
      <alignment horizontal="center" vertical="center" wrapText="1"/>
    </xf>
    <xf numFmtId="0" fontId="7" fillId="2" borderId="46" xfId="0" applyFont="1" applyFill="1" applyBorder="1" applyAlignment="1" applyProtection="1">
      <alignment horizontal="center" vertical="center" wrapText="1"/>
    </xf>
    <xf numFmtId="0" fontId="6" fillId="4" borderId="0" xfId="0" applyFont="1" applyFill="1" applyBorder="1" applyAlignment="1" applyProtection="1">
      <alignment vertical="center" wrapText="1"/>
    </xf>
    <xf numFmtId="0" fontId="26" fillId="4" borderId="0" xfId="0" applyFont="1" applyFill="1" applyBorder="1" applyAlignment="1" applyProtection="1">
      <alignment vertical="center" wrapText="1"/>
    </xf>
    <xf numFmtId="0" fontId="10" fillId="3" borderId="0" xfId="0" applyFont="1" applyFill="1" applyBorder="1" applyAlignment="1" applyProtection="1">
      <alignment vertical="center" wrapText="1"/>
    </xf>
    <xf numFmtId="166" fontId="6" fillId="0" borderId="0" xfId="0" applyNumberFormat="1" applyFont="1" applyBorder="1" applyProtection="1"/>
    <xf numFmtId="0" fontId="2" fillId="2" borderId="0" xfId="0" applyFont="1" applyFill="1" applyAlignment="1">
      <alignment horizontal="center" vertical="center"/>
    </xf>
    <xf numFmtId="1" fontId="20" fillId="6" borderId="0" xfId="0" applyNumberFormat="1" applyFont="1" applyFill="1" applyBorder="1" applyAlignment="1">
      <alignment horizontal="center" vertical="center"/>
    </xf>
    <xf numFmtId="2" fontId="2" fillId="6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" fontId="0" fillId="2" borderId="0" xfId="0" applyNumberFormat="1" applyFont="1" applyFill="1" applyAlignment="1">
      <alignment horizontal="center" vertical="center"/>
    </xf>
    <xf numFmtId="164" fontId="0" fillId="2" borderId="0" xfId="0" applyNumberFormat="1" applyFont="1" applyFill="1" applyAlignment="1">
      <alignment horizontal="center" vertical="center"/>
    </xf>
    <xf numFmtId="2" fontId="18" fillId="8" borderId="0" xfId="0" applyNumberFormat="1" applyFont="1" applyFill="1" applyBorder="1" applyAlignment="1">
      <alignment horizontal="center" vertical="center"/>
    </xf>
    <xf numFmtId="11" fontId="19" fillId="8" borderId="0" xfId="0" applyNumberFormat="1" applyFont="1" applyFill="1" applyBorder="1" applyAlignment="1">
      <alignment horizontal="center" vertical="center"/>
    </xf>
    <xf numFmtId="11" fontId="23" fillId="8" borderId="0" xfId="0" applyNumberFormat="1" applyFont="1" applyFill="1" applyBorder="1" applyAlignment="1">
      <alignment horizontal="center" vertical="center"/>
    </xf>
    <xf numFmtId="2" fontId="20" fillId="4" borderId="0" xfId="0" applyNumberFormat="1" applyFont="1" applyFill="1" applyBorder="1" applyAlignment="1" applyProtection="1">
      <alignment horizontal="center" vertical="center"/>
    </xf>
    <xf numFmtId="170" fontId="0" fillId="2" borderId="0" xfId="0" applyNumberFormat="1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11" fontId="15" fillId="6" borderId="0" xfId="0" applyNumberFormat="1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1" fontId="25" fillId="6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11" fontId="2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11" fontId="0" fillId="6" borderId="0" xfId="0" applyNumberFormat="1" applyFont="1" applyFill="1" applyAlignment="1">
      <alignment horizontal="center" vertical="center"/>
    </xf>
    <xf numFmtId="0" fontId="6" fillId="4" borderId="56" xfId="0" applyFont="1" applyFill="1" applyBorder="1" applyProtection="1"/>
    <xf numFmtId="0" fontId="39" fillId="3" borderId="18" xfId="0" applyFont="1" applyFill="1" applyBorder="1" applyAlignment="1" applyProtection="1"/>
    <xf numFmtId="0" fontId="13" fillId="3" borderId="12" xfId="0" applyFont="1" applyFill="1" applyBorder="1" applyAlignment="1" applyProtection="1">
      <alignment horizontal="left" vertical="center"/>
    </xf>
    <xf numFmtId="0" fontId="13" fillId="3" borderId="13" xfId="0" applyFont="1" applyFill="1" applyBorder="1" applyAlignment="1" applyProtection="1">
      <alignment horizontal="left" vertical="center"/>
    </xf>
    <xf numFmtId="0" fontId="13" fillId="3" borderId="14" xfId="0" applyFont="1" applyFill="1" applyBorder="1" applyAlignment="1" applyProtection="1">
      <alignment horizontal="left" vertical="center"/>
    </xf>
    <xf numFmtId="0" fontId="8" fillId="2" borderId="6" xfId="0" applyFont="1" applyFill="1" applyBorder="1" applyAlignment="1" applyProtection="1">
      <alignment horizontal="center" vertical="center"/>
    </xf>
    <xf numFmtId="0" fontId="8" fillId="2" borderId="11" xfId="0" applyFont="1" applyFill="1" applyBorder="1" applyAlignment="1" applyProtection="1">
      <alignment horizontal="center" vertical="center"/>
    </xf>
    <xf numFmtId="0" fontId="7" fillId="2" borderId="39" xfId="0" applyFont="1" applyFill="1" applyBorder="1" applyAlignment="1" applyProtection="1">
      <alignment horizontal="center" vertical="center" wrapText="1"/>
    </xf>
    <xf numFmtId="0" fontId="7" fillId="2" borderId="16" xfId="0" applyFont="1" applyFill="1" applyBorder="1" applyAlignment="1" applyProtection="1">
      <alignment horizontal="center" vertical="center"/>
    </xf>
    <xf numFmtId="0" fontId="7" fillId="2" borderId="22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 wrapText="1"/>
    </xf>
    <xf numFmtId="0" fontId="7" fillId="2" borderId="22" xfId="0" applyFont="1" applyFill="1" applyBorder="1" applyAlignment="1" applyProtection="1">
      <alignment horizontal="center" vertical="center" wrapText="1"/>
    </xf>
    <xf numFmtId="0" fontId="26" fillId="4" borderId="0" xfId="0" applyFont="1" applyFill="1" applyBorder="1" applyAlignment="1" applyProtection="1">
      <alignment horizontal="center" vertical="center" wrapText="1"/>
    </xf>
    <xf numFmtId="0" fontId="26" fillId="4" borderId="55" xfId="0" applyFont="1" applyFill="1" applyBorder="1" applyAlignment="1" applyProtection="1">
      <alignment horizontal="center" vertical="center" wrapText="1"/>
    </xf>
    <xf numFmtId="0" fontId="26" fillId="4" borderId="32" xfId="0" applyFont="1" applyFill="1" applyBorder="1" applyAlignment="1" applyProtection="1">
      <alignment horizontal="center" vertical="center" wrapText="1"/>
    </xf>
    <xf numFmtId="0" fontId="26" fillId="4" borderId="30" xfId="0" applyFont="1" applyFill="1" applyBorder="1" applyAlignment="1" applyProtection="1">
      <alignment horizontal="center" vertical="center" wrapText="1"/>
    </xf>
    <xf numFmtId="0" fontId="26" fillId="4" borderId="31" xfId="0" applyFont="1" applyFill="1" applyBorder="1" applyAlignment="1" applyProtection="1">
      <alignment horizontal="center" vertical="center" wrapText="1"/>
    </xf>
    <xf numFmtId="0" fontId="26" fillId="4" borderId="53" xfId="0" applyFont="1" applyFill="1" applyBorder="1" applyAlignment="1" applyProtection="1">
      <alignment horizontal="center" vertical="center" wrapText="1"/>
    </xf>
    <xf numFmtId="0" fontId="26" fillId="4" borderId="54" xfId="0" applyFont="1" applyFill="1" applyBorder="1" applyAlignment="1" applyProtection="1">
      <alignment horizontal="center" vertical="center" wrapText="1"/>
    </xf>
    <xf numFmtId="0" fontId="13" fillId="3" borderId="50" xfId="0" applyFont="1" applyFill="1" applyBorder="1" applyAlignment="1" applyProtection="1">
      <alignment horizontal="center" vertical="center"/>
    </xf>
    <xf numFmtId="0" fontId="13" fillId="3" borderId="51" xfId="0" applyFont="1" applyFill="1" applyBorder="1" applyAlignment="1" applyProtection="1">
      <alignment horizontal="center" vertical="center"/>
    </xf>
    <xf numFmtId="0" fontId="13" fillId="3" borderId="52" xfId="0" applyFont="1" applyFill="1" applyBorder="1" applyAlignment="1" applyProtection="1">
      <alignment horizontal="center" vertical="center"/>
    </xf>
    <xf numFmtId="0" fontId="35" fillId="4" borderId="16" xfId="0" applyFont="1" applyFill="1" applyBorder="1" applyAlignment="1" applyProtection="1">
      <alignment horizontal="left" vertical="center" wrapText="1"/>
    </xf>
    <xf numFmtId="0" fontId="35" fillId="4" borderId="0" xfId="0" applyFont="1" applyFill="1" applyBorder="1" applyAlignment="1" applyProtection="1">
      <alignment horizontal="left" vertical="center" wrapText="1"/>
    </xf>
    <xf numFmtId="11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15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7" borderId="6" xfId="0" applyFont="1" applyFill="1" applyBorder="1" applyAlignment="1">
      <alignment horizontal="center"/>
    </xf>
    <xf numFmtId="0" fontId="2" fillId="7" borderId="21" xfId="0" applyFont="1" applyFill="1" applyBorder="1" applyAlignment="1">
      <alignment horizontal="center"/>
    </xf>
    <xf numFmtId="0" fontId="15" fillId="10" borderId="15" xfId="0" applyFont="1" applyFill="1" applyBorder="1" applyAlignment="1">
      <alignment horizontal="center"/>
    </xf>
    <xf numFmtId="0" fontId="15" fillId="10" borderId="16" xfId="0" applyFont="1" applyFill="1" applyBorder="1" applyAlignment="1">
      <alignment horizontal="center"/>
    </xf>
    <xf numFmtId="0" fontId="15" fillId="10" borderId="17" xfId="0" applyFont="1" applyFill="1" applyBorder="1" applyAlignment="1">
      <alignment horizontal="center"/>
    </xf>
    <xf numFmtId="0" fontId="2" fillId="7" borderId="0" xfId="0" applyFont="1" applyFill="1" applyBorder="1" applyAlignment="1">
      <alignment horizontal="center"/>
    </xf>
    <xf numFmtId="0" fontId="2" fillId="7" borderId="19" xfId="0" applyFont="1" applyFill="1" applyBorder="1" applyAlignment="1">
      <alignment horizontal="center"/>
    </xf>
  </cellXfs>
  <cellStyles count="13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3" builtinId="9" hidden="1"/>
    <cellStyle name="Followed Hyperlink" xfId="1064" builtinId="9" hidden="1"/>
    <cellStyle name="Followed Hyperlink" xfId="1065" builtinId="9" hidden="1"/>
    <cellStyle name="Followed Hyperlink" xfId="1066" builtinId="9" hidden="1"/>
    <cellStyle name="Followed Hyperlink" xfId="1067" builtinId="9" hidden="1"/>
    <cellStyle name="Followed Hyperlink" xfId="1068" builtinId="9" hidden="1"/>
    <cellStyle name="Followed Hyperlink" xfId="1069" builtinId="9" hidden="1"/>
    <cellStyle name="Followed Hyperlink" xfId="1070" builtinId="9" hidden="1"/>
    <cellStyle name="Followed Hyperlink" xfId="1071" builtinId="9" hidden="1"/>
    <cellStyle name="Followed Hyperlink" xfId="1072" builtinId="9" hidden="1"/>
    <cellStyle name="Followed Hyperlink" xfId="1073" builtinId="9" hidden="1"/>
    <cellStyle name="Followed Hyperlink" xfId="1074" builtinId="9" hidden="1"/>
    <cellStyle name="Followed Hyperlink" xfId="1075" builtinId="9" hidden="1"/>
    <cellStyle name="Followed Hyperlink" xfId="1076" builtinId="9" hidden="1"/>
    <cellStyle name="Followed Hyperlink" xfId="1077" builtinId="9" hidden="1"/>
    <cellStyle name="Followed Hyperlink" xfId="1078" builtinId="9" hidden="1"/>
    <cellStyle name="Followed Hyperlink" xfId="1079" builtinId="9" hidden="1"/>
    <cellStyle name="Followed Hyperlink" xfId="1080" builtinId="9" hidden="1"/>
    <cellStyle name="Followed Hyperlink" xfId="1081" builtinId="9" hidden="1"/>
    <cellStyle name="Followed Hyperlink" xfId="1082" builtinId="9" hidden="1"/>
    <cellStyle name="Followed Hyperlink" xfId="1083" builtinId="9" hidden="1"/>
    <cellStyle name="Followed Hyperlink" xfId="1084" builtinId="9" hidden="1"/>
    <cellStyle name="Followed Hyperlink" xfId="1085" builtinId="9" hidden="1"/>
    <cellStyle name="Followed Hyperlink" xfId="1086" builtinId="9" hidden="1"/>
    <cellStyle name="Followed Hyperlink" xfId="1087" builtinId="9" hidden="1"/>
    <cellStyle name="Followed Hyperlink" xfId="1088" builtinId="9" hidden="1"/>
    <cellStyle name="Followed Hyperlink" xfId="1089" builtinId="9" hidden="1"/>
    <cellStyle name="Followed Hyperlink" xfId="1090" builtinId="9" hidden="1"/>
    <cellStyle name="Followed Hyperlink" xfId="1091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Normal" xfId="0" builtinId="0"/>
    <cellStyle name="Normal 2" xfId="466"/>
    <cellStyle name="Percent" xfId="105" builtinId="5"/>
  </cellStyles>
  <dxfs count="4">
    <dxf>
      <font>
        <color rgb="FF9C0006"/>
      </font>
      <fill>
        <patternFill patternType="solid">
          <fgColor indexed="64"/>
          <bgColor theme="0" tint="-0.14999847407452621"/>
        </patternFill>
      </fill>
    </dxf>
    <dxf>
      <font>
        <b/>
        <i val="0"/>
        <color auto="1"/>
      </font>
      <fill>
        <patternFill patternType="solid">
          <fgColor indexed="64"/>
          <bgColor theme="5" tint="0.59999389629810485"/>
        </patternFill>
      </fill>
    </dxf>
    <dxf>
      <font>
        <b/>
        <i val="0"/>
        <strike val="0"/>
        <color auto="1"/>
      </font>
      <fill>
        <patternFill patternType="solid">
          <fgColor indexed="64"/>
          <bgColor theme="5" tint="0.59999389629810485"/>
        </patternFill>
      </fill>
    </dxf>
    <dxf>
      <font>
        <color rgb="FF9C0006"/>
      </font>
      <fill>
        <patternFill patternType="solid">
          <fgColor indexed="64"/>
          <bgColor theme="0" tint="-0.14999847407452621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1891693685348"/>
          <c:y val="0.0676393768330696"/>
          <c:w val="0.576929133858268"/>
          <c:h val="0.830593916022267"/>
        </c:manualLayout>
      </c:layout>
      <c:scatterChart>
        <c:scatterStyle val="lineMarker"/>
        <c:varyColors val="0"/>
        <c:ser>
          <c:idx val="0"/>
          <c:order val="0"/>
          <c:tx>
            <c:v>New subject</c:v>
          </c:tx>
          <c:spPr>
            <a:ln w="47625">
              <a:noFill/>
            </a:ln>
            <a:effectLst/>
          </c:spPr>
          <c:marker>
            <c:symbol val="diamond"/>
            <c:size val="8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Other!$E$3:$E$28</c:f>
                <c:numCache>
                  <c:formatCode>General</c:formatCode>
                  <c:ptCount val="26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0.0</c:v>
                  </c:pt>
                  <c:pt idx="4">
                    <c:v>0.0</c:v>
                  </c:pt>
                  <c:pt idx="5">
                    <c:v>0.0</c:v>
                  </c:pt>
                  <c:pt idx="6">
                    <c:v>0.0</c:v>
                  </c:pt>
                  <c:pt idx="7">
                    <c:v>0.0</c:v>
                  </c:pt>
                  <c:pt idx="8">
                    <c:v>0.0</c:v>
                  </c:pt>
                  <c:pt idx="9">
                    <c:v>0.0</c:v>
                  </c:pt>
                  <c:pt idx="10">
                    <c:v>0.0</c:v>
                  </c:pt>
                  <c:pt idx="11">
                    <c:v>0.0</c:v>
                  </c:pt>
                  <c:pt idx="12">
                    <c:v>0.0</c:v>
                  </c:pt>
                  <c:pt idx="13">
                    <c:v>0.0</c:v>
                  </c:pt>
                  <c:pt idx="14">
                    <c:v>0.0</c:v>
                  </c:pt>
                  <c:pt idx="15">
                    <c:v>0.0</c:v>
                  </c:pt>
                  <c:pt idx="16">
                    <c:v>0.0</c:v>
                  </c:pt>
                  <c:pt idx="17">
                    <c:v>0.0</c:v>
                  </c:pt>
                  <c:pt idx="18">
                    <c:v>0.0</c:v>
                  </c:pt>
                  <c:pt idx="19">
                    <c:v>0.0</c:v>
                  </c:pt>
                  <c:pt idx="20">
                    <c:v>0.0</c:v>
                  </c:pt>
                  <c:pt idx="21">
                    <c:v>0.0</c:v>
                  </c:pt>
                  <c:pt idx="22">
                    <c:v>0.0</c:v>
                  </c:pt>
                  <c:pt idx="23">
                    <c:v>0.0</c:v>
                  </c:pt>
                  <c:pt idx="24">
                    <c:v>0.0</c:v>
                  </c:pt>
                  <c:pt idx="25">
                    <c:v>0.0</c:v>
                  </c:pt>
                </c:numCache>
              </c:numRef>
            </c:plus>
            <c:minus>
              <c:numRef>
                <c:f>Other!$D$3:$D$28</c:f>
                <c:numCache>
                  <c:formatCode>General</c:formatCode>
                  <c:ptCount val="26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0.0</c:v>
                  </c:pt>
                  <c:pt idx="4">
                    <c:v>0.0</c:v>
                  </c:pt>
                  <c:pt idx="5">
                    <c:v>0.0</c:v>
                  </c:pt>
                  <c:pt idx="6">
                    <c:v>0.0</c:v>
                  </c:pt>
                  <c:pt idx="7">
                    <c:v>0.0</c:v>
                  </c:pt>
                  <c:pt idx="8">
                    <c:v>0.0</c:v>
                  </c:pt>
                  <c:pt idx="9">
                    <c:v>0.0</c:v>
                  </c:pt>
                  <c:pt idx="10">
                    <c:v>0.0</c:v>
                  </c:pt>
                  <c:pt idx="11">
                    <c:v>0.0</c:v>
                  </c:pt>
                  <c:pt idx="12">
                    <c:v>0.0</c:v>
                  </c:pt>
                  <c:pt idx="13">
                    <c:v>0.0</c:v>
                  </c:pt>
                  <c:pt idx="14">
                    <c:v>0.0</c:v>
                  </c:pt>
                  <c:pt idx="15">
                    <c:v>0.0</c:v>
                  </c:pt>
                  <c:pt idx="16">
                    <c:v>0.0</c:v>
                  </c:pt>
                  <c:pt idx="17">
                    <c:v>0.0</c:v>
                  </c:pt>
                  <c:pt idx="18">
                    <c:v>0.0</c:v>
                  </c:pt>
                  <c:pt idx="19">
                    <c:v>0.0</c:v>
                  </c:pt>
                  <c:pt idx="20">
                    <c:v>0.0</c:v>
                  </c:pt>
                  <c:pt idx="21">
                    <c:v>0.0</c:v>
                  </c:pt>
                  <c:pt idx="22">
                    <c:v>0.0</c:v>
                  </c:pt>
                  <c:pt idx="23">
                    <c:v>0.0</c:v>
                  </c:pt>
                  <c:pt idx="24">
                    <c:v>0.0</c:v>
                  </c:pt>
                  <c:pt idx="25">
                    <c:v>0.0</c:v>
                  </c:pt>
                </c:numCache>
              </c:numRef>
            </c:minus>
          </c:errBars>
          <c:xVal>
            <c:strRef>
              <c:f>Statistics!$I$11:$I$36</c:f>
              <c:strCache>
                <c:ptCount val="26"/>
                <c:pt idx="0">
                  <c:v>-</c:v>
                </c:pt>
                <c:pt idx="1">
                  <c:v>-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  <c:pt idx="17">
                  <c:v>-</c:v>
                </c:pt>
                <c:pt idx="18">
                  <c:v>-</c:v>
                </c:pt>
                <c:pt idx="19">
                  <c:v>-</c:v>
                </c:pt>
                <c:pt idx="20">
                  <c:v>-</c:v>
                </c:pt>
                <c:pt idx="21">
                  <c:v>-</c:v>
                </c:pt>
                <c:pt idx="22">
                  <c:v>-</c:v>
                </c:pt>
                <c:pt idx="23">
                  <c:v>-</c:v>
                </c:pt>
                <c:pt idx="24">
                  <c:v>-</c:v>
                </c:pt>
                <c:pt idx="25">
                  <c:v>-</c:v>
                </c:pt>
              </c:strCache>
            </c:strRef>
          </c:xVal>
          <c:yVal>
            <c:numRef>
              <c:f>Other!$C$3:$C$28</c:f>
              <c:numCache>
                <c:formatCode>0.000</c:formatCode>
                <c:ptCount val="26"/>
                <c:pt idx="0">
                  <c:v>4.82566037735849</c:v>
                </c:pt>
                <c:pt idx="1">
                  <c:v>4.636981132075472</c:v>
                </c:pt>
                <c:pt idx="2">
                  <c:v>4.448301886792453</c:v>
                </c:pt>
                <c:pt idx="3">
                  <c:v>4.259622641509434</c:v>
                </c:pt>
                <c:pt idx="4">
                  <c:v>4.070943396226415</c:v>
                </c:pt>
                <c:pt idx="5">
                  <c:v>3.882264150943396</c:v>
                </c:pt>
                <c:pt idx="6">
                  <c:v>3.693584905660377</c:v>
                </c:pt>
                <c:pt idx="7">
                  <c:v>3.504905660377358</c:v>
                </c:pt>
                <c:pt idx="8">
                  <c:v>3.31622641509434</c:v>
                </c:pt>
                <c:pt idx="9">
                  <c:v>3.127547169811321</c:v>
                </c:pt>
                <c:pt idx="10">
                  <c:v>2.938867924528302</c:v>
                </c:pt>
                <c:pt idx="11">
                  <c:v>2.750188679245283</c:v>
                </c:pt>
                <c:pt idx="12">
                  <c:v>2.561509433962264</c:v>
                </c:pt>
                <c:pt idx="13">
                  <c:v>2.372830188679245</c:v>
                </c:pt>
                <c:pt idx="14">
                  <c:v>2.184150943396226</c:v>
                </c:pt>
                <c:pt idx="15">
                  <c:v>1.995471698113207</c:v>
                </c:pt>
                <c:pt idx="16">
                  <c:v>1.806792452830189</c:v>
                </c:pt>
                <c:pt idx="17">
                  <c:v>1.61811320754717</c:v>
                </c:pt>
                <c:pt idx="18">
                  <c:v>1.429433962264151</c:v>
                </c:pt>
                <c:pt idx="19">
                  <c:v>1.240754716981132</c:v>
                </c:pt>
                <c:pt idx="20">
                  <c:v>1.052075471698113</c:v>
                </c:pt>
                <c:pt idx="21">
                  <c:v>0.863396226415094</c:v>
                </c:pt>
                <c:pt idx="22">
                  <c:v>0.674716981132075</c:v>
                </c:pt>
                <c:pt idx="23">
                  <c:v>0.486037735849057</c:v>
                </c:pt>
                <c:pt idx="24">
                  <c:v>0.297358490566038</c:v>
                </c:pt>
                <c:pt idx="25">
                  <c:v>0.108679245283019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057240"/>
        <c:axId val="2128998456"/>
      </c:scatterChart>
      <c:valAx>
        <c:axId val="2129057240"/>
        <c:scaling>
          <c:orientation val="minMax"/>
          <c:max val="4.0"/>
          <c:min val="-4.0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Z</a:t>
                </a:r>
                <a:r>
                  <a:rPr lang="en-US" sz="1600" baseline="-25000"/>
                  <a:t>cc</a:t>
                </a:r>
                <a:r>
                  <a:rPr lang="en-US" sz="1600"/>
                  <a:t> score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400" b="1"/>
            </a:pPr>
            <a:endParaRPr lang="en-US"/>
          </a:p>
        </c:txPr>
        <c:crossAx val="2128998456"/>
        <c:crosses val="autoZero"/>
        <c:crossBetween val="midCat"/>
        <c:majorUnit val="1.0"/>
        <c:minorUnit val="0.5"/>
      </c:valAx>
      <c:valAx>
        <c:axId val="2128998456"/>
        <c:scaling>
          <c:orientation val="minMax"/>
          <c:max val="5.0"/>
        </c:scaling>
        <c:delete val="0"/>
        <c:axPos val="l"/>
        <c:numFmt formatCode="0.000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" kern="1200">
                <a:solidFill>
                  <a:schemeClr val="bg1"/>
                </a:solidFill>
              </a:defRPr>
            </a:pPr>
            <a:endParaRPr lang="en-US"/>
          </a:p>
        </c:txPr>
        <c:crossAx val="2129057240"/>
        <c:crossesAt val="-4.0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863600</xdr:colOff>
      <xdr:row>8</xdr:row>
      <xdr:rowOff>617220</xdr:rowOff>
    </xdr:from>
    <xdr:to>
      <xdr:col>16</xdr:col>
      <xdr:colOff>728980</xdr:colOff>
      <xdr:row>40</xdr:row>
      <xdr:rowOff>145288</xdr:rowOff>
    </xdr:to>
    <xdr:grpSp>
      <xdr:nvGrpSpPr>
        <xdr:cNvPr id="4" name="Group 3" hidden="1"/>
        <xdr:cNvGrpSpPr/>
      </xdr:nvGrpSpPr>
      <xdr:grpSpPr>
        <a:xfrm>
          <a:off x="17830800" y="4808220"/>
          <a:ext cx="5656580" cy="10030968"/>
          <a:chOff x="17830800" y="4681220"/>
          <a:chExt cx="5656580" cy="10119360"/>
        </a:xfrm>
      </xdr:grpSpPr>
      <xdr:grpSp>
        <xdr:nvGrpSpPr>
          <xdr:cNvPr id="7" name="Group 6" hidden="1"/>
          <xdr:cNvGrpSpPr/>
        </xdr:nvGrpSpPr>
        <xdr:grpSpPr>
          <a:xfrm>
            <a:off x="17830800" y="4681220"/>
            <a:ext cx="5656580" cy="10119360"/>
            <a:chOff x="18338800" y="4198620"/>
            <a:chExt cx="5538047" cy="10229427"/>
          </a:xfrm>
        </xdr:grpSpPr>
        <xdr:cxnSp macro="">
          <xdr:nvCxnSpPr>
            <xdr:cNvPr id="5" name="Straight Connector 4" hidden="1"/>
            <xdr:cNvCxnSpPr/>
          </xdr:nvCxnSpPr>
          <xdr:spPr>
            <a:xfrm flipH="1" flipV="1">
              <a:off x="21720144" y="5037408"/>
              <a:ext cx="0" cy="8435567"/>
            </a:xfrm>
            <a:prstGeom prst="line">
              <a:avLst/>
            </a:prstGeom>
            <a:ln w="12700" cmpd="sng">
              <a:solidFill>
                <a:schemeClr val="bg1">
                  <a:lumMod val="50000"/>
                </a:schemeClr>
              </a:solidFill>
              <a:prstDash val="dash"/>
            </a:ln>
            <a:effectLst/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graphicFrame macro="">
          <xdr:nvGraphicFramePr>
            <xdr:cNvPr id="2" name="Chart 1" hidden="1"/>
            <xdr:cNvGraphicFramePr>
              <a:graphicFrameLocks/>
            </xdr:cNvGraphicFramePr>
          </xdr:nvGraphicFramePr>
          <xdr:xfrm>
            <a:off x="18338800" y="4198620"/>
            <a:ext cx="5538047" cy="1022942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</xdr:grpSp>
      <xdr:sp macro="" textlink="">
        <xdr:nvSpPr>
          <xdr:cNvPr id="3" name="TextBox 2" hidden="1"/>
          <xdr:cNvSpPr txBox="1"/>
        </xdr:nvSpPr>
        <xdr:spPr>
          <a:xfrm>
            <a:off x="18149238" y="5418129"/>
            <a:ext cx="1497893" cy="84883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Accumbens L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Accumbens R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Amygdala L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Amygdala R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Brainstem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Caudate L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Caudate R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Hippocampus L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Hippocampus R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Pallidum L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Pallidum R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Putamen L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Putamen R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Thalamus L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Thalamus R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Ventral DC L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Ventral DC R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Ventricles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Lateral L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Lateral R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Inferior lateral L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Inferior lateral R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3rd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4th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Corpus callosum</a:t>
            </a:r>
          </a:p>
          <a:p>
            <a:pPr marL="0" algn="r">
              <a:lnSpc>
                <a:spcPts val="2500"/>
              </a:lnSpc>
              <a:spcBef>
                <a:spcPts val="0"/>
              </a:spcBef>
            </a:pPr>
            <a:r>
              <a:rPr lang="en-US" sz="1400" b="1"/>
              <a:t>Subcortical GM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2</xdr:row>
          <xdr:rowOff>279400</xdr:rowOff>
        </xdr:from>
        <xdr:to>
          <xdr:col>13</xdr:col>
          <xdr:colOff>901700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PRESS HERE</a:t>
              </a:r>
            </a:p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import volumes from an aseg.stats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762000</xdr:colOff>
          <xdr:row>4</xdr:row>
          <xdr:rowOff>596900</xdr:rowOff>
        </xdr:from>
        <xdr:to>
          <xdr:col>12</xdr:col>
          <xdr:colOff>444500</xdr:colOff>
          <xdr:row>5</xdr:row>
          <xdr:rowOff>444500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Clear Sheet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2235201</xdr:colOff>
      <xdr:row>2</xdr:row>
      <xdr:rowOff>165099</xdr:rowOff>
    </xdr:from>
    <xdr:to>
      <xdr:col>2</xdr:col>
      <xdr:colOff>413325</xdr:colOff>
      <xdr:row>3</xdr:row>
      <xdr:rowOff>681226</xdr:rowOff>
    </xdr:to>
    <xdr:pic macro="[0]!ThisWorkbook.Picture5_Click">
      <xdr:nvPicPr>
        <xdr:cNvPr id="10" name="Picture 9" descr="Logo-Medics-Header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1" y="876299"/>
          <a:ext cx="1988124" cy="9606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BI56"/>
  <sheetViews>
    <sheetView showGridLines="0" tabSelected="1" workbookViewId="0">
      <selection activeCell="F6" sqref="F6"/>
    </sheetView>
  </sheetViews>
  <sheetFormatPr baseColWidth="10" defaultColWidth="10.83203125" defaultRowHeight="15" x14ac:dyDescent="0"/>
  <cols>
    <col min="1" max="1" width="22.33203125" style="36" customWidth="1"/>
    <col min="2" max="2" width="20.5" style="36" customWidth="1"/>
    <col min="3" max="3" width="19.1640625" style="36" customWidth="1"/>
    <col min="4" max="5" width="15.6640625" style="36" customWidth="1"/>
    <col min="6" max="8" width="16.1640625" style="36" customWidth="1"/>
    <col min="9" max="9" width="18.33203125" style="36" customWidth="1"/>
    <col min="10" max="10" width="17.33203125" style="36" customWidth="1"/>
    <col min="11" max="11" width="13.83203125" style="36" customWidth="1"/>
    <col min="12" max="12" width="17.5" style="36" customWidth="1"/>
    <col min="13" max="14" width="13.83203125" style="36" customWidth="1"/>
    <col min="15" max="15" width="17.33203125" style="36" customWidth="1"/>
    <col min="16" max="16" width="44.83203125" style="36" customWidth="1"/>
    <col min="17" max="17" width="16.83203125" style="36" customWidth="1"/>
    <col min="18" max="20" width="12.83203125" style="36" bestFit="1" customWidth="1"/>
    <col min="21" max="21" width="13.1640625" style="36" bestFit="1" customWidth="1"/>
    <col min="22" max="22" width="13.1640625" style="36" customWidth="1"/>
    <col min="23" max="24" width="12.83203125" style="36" bestFit="1" customWidth="1"/>
    <col min="25" max="25" width="13.6640625" style="36" customWidth="1"/>
    <col min="26" max="26" width="14.1640625" style="36" customWidth="1"/>
    <col min="27" max="27" width="15.6640625" style="36" customWidth="1"/>
    <col min="28" max="28" width="15.5" style="36" customWidth="1"/>
    <col min="29" max="29" width="14.33203125" style="36" customWidth="1"/>
    <col min="30" max="30" width="14.1640625" style="36" customWidth="1"/>
    <col min="31" max="31" width="13.1640625" style="36" customWidth="1"/>
    <col min="32" max="32" width="11.5" style="36" bestFit="1" customWidth="1"/>
    <col min="33" max="33" width="3.83203125" style="36" customWidth="1"/>
    <col min="34" max="34" width="3.5" style="36" customWidth="1"/>
    <col min="35" max="35" width="11.83203125" style="36" bestFit="1" customWidth="1"/>
    <col min="36" max="36" width="2.83203125" style="36" customWidth="1"/>
    <col min="37" max="37" width="3" style="36" customWidth="1"/>
    <col min="38" max="38" width="11.83203125" style="36" bestFit="1" customWidth="1"/>
    <col min="39" max="39" width="2.6640625" style="36" customWidth="1"/>
    <col min="40" max="40" width="2.1640625" style="36" customWidth="1"/>
    <col min="41" max="41" width="11.83203125" style="36" bestFit="1" customWidth="1"/>
    <col min="42" max="42" width="2" style="36" customWidth="1"/>
    <col min="43" max="43" width="2.1640625" style="36" customWidth="1"/>
    <col min="44" max="44" width="11.83203125" style="36" bestFit="1" customWidth="1"/>
    <col min="45" max="46" width="1.6640625" style="36" customWidth="1"/>
    <col min="47" max="47" width="11.83203125" style="36" bestFit="1" customWidth="1"/>
    <col min="48" max="49" width="1.6640625" style="36" customWidth="1"/>
    <col min="50" max="50" width="11.83203125" style="36" bestFit="1" customWidth="1"/>
    <col min="51" max="52" width="1.6640625" style="36" customWidth="1"/>
    <col min="53" max="53" width="11.83203125" style="36" bestFit="1" customWidth="1"/>
    <col min="54" max="55" width="1.6640625" style="36" customWidth="1"/>
    <col min="56" max="56" width="11.83203125" style="36" bestFit="1" customWidth="1"/>
    <col min="57" max="58" width="1.6640625" style="36" customWidth="1"/>
    <col min="59" max="59" width="11.83203125" style="36" bestFit="1" customWidth="1"/>
    <col min="60" max="61" width="1.6640625" style="36" customWidth="1"/>
    <col min="62" max="62" width="11.83203125" style="36" bestFit="1" customWidth="1"/>
    <col min="63" max="63" width="2.33203125" style="36" customWidth="1"/>
    <col min="64" max="64" width="3.1640625" style="36" customWidth="1"/>
    <col min="65" max="65" width="11.83203125" style="36" bestFit="1" customWidth="1"/>
    <col min="66" max="66" width="2.6640625" style="36" customWidth="1"/>
    <col min="67" max="16384" width="10.83203125" style="36"/>
  </cols>
  <sheetData>
    <row r="1" spans="1:30" ht="41" customHeight="1">
      <c r="A1" s="173" t="s">
        <v>127</v>
      </c>
      <c r="B1" s="35"/>
      <c r="C1" s="35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</row>
    <row r="2" spans="1:30" s="41" customFormat="1" ht="15" customHeight="1">
      <c r="A2" s="37"/>
      <c r="B2" s="38"/>
      <c r="C2" s="38"/>
      <c r="D2" s="38"/>
      <c r="E2" s="38"/>
      <c r="F2" s="38"/>
      <c r="G2" s="38"/>
      <c r="H2" s="38"/>
      <c r="I2" s="38"/>
      <c r="J2" s="39"/>
      <c r="K2" s="39"/>
      <c r="L2" s="39"/>
      <c r="M2" s="40"/>
      <c r="N2" s="40"/>
      <c r="O2" s="40"/>
      <c r="P2" s="40"/>
      <c r="Q2" s="40"/>
      <c r="R2" s="40"/>
    </row>
    <row r="3" spans="1:30" ht="35" customHeight="1">
      <c r="A3" s="184"/>
      <c r="B3" s="184"/>
      <c r="C3" s="184"/>
      <c r="D3" s="184"/>
      <c r="E3" s="143"/>
      <c r="F3" s="191" t="s">
        <v>128</v>
      </c>
      <c r="G3" s="192"/>
      <c r="H3" s="192"/>
      <c r="I3" s="192"/>
      <c r="J3" s="193"/>
      <c r="K3" s="40"/>
      <c r="L3" s="40"/>
      <c r="M3" s="40"/>
      <c r="N3" s="40"/>
      <c r="O3" s="43"/>
      <c r="P3" s="43"/>
      <c r="Q3" s="40"/>
      <c r="R3" s="40"/>
    </row>
    <row r="4" spans="1:30" ht="70" customHeight="1" thickBot="1">
      <c r="A4" s="185"/>
      <c r="B4" s="185"/>
      <c r="C4" s="185"/>
      <c r="D4" s="185"/>
      <c r="E4" s="143"/>
      <c r="F4" s="48" t="s">
        <v>35</v>
      </c>
      <c r="G4" s="48" t="s">
        <v>36</v>
      </c>
      <c r="H4" s="139" t="s">
        <v>67</v>
      </c>
      <c r="I4" s="139" t="s">
        <v>37</v>
      </c>
      <c r="J4" s="140" t="s">
        <v>129</v>
      </c>
      <c r="K4" s="40"/>
      <c r="L4" s="40"/>
      <c r="M4" s="40"/>
      <c r="N4" s="40"/>
      <c r="O4" s="43"/>
      <c r="P4" s="43"/>
      <c r="Q4" s="40"/>
      <c r="R4" s="40"/>
    </row>
    <row r="5" spans="1:30" ht="69" customHeight="1" thickBot="1">
      <c r="A5" s="186" t="s">
        <v>131</v>
      </c>
      <c r="B5" s="187"/>
      <c r="C5" s="187"/>
      <c r="D5" s="188"/>
      <c r="E5" s="104"/>
      <c r="F5" s="138"/>
      <c r="G5" s="42" t="s">
        <v>78</v>
      </c>
      <c r="H5" s="101" t="s">
        <v>34</v>
      </c>
      <c r="I5" s="42" t="s">
        <v>79</v>
      </c>
      <c r="J5" s="141"/>
      <c r="K5" s="40"/>
      <c r="L5" s="40"/>
      <c r="M5" s="40"/>
      <c r="N5" s="40"/>
      <c r="O5" s="43"/>
      <c r="P5" s="43"/>
      <c r="Q5" s="40"/>
      <c r="R5" s="40"/>
    </row>
    <row r="6" spans="1:30" ht="48" customHeight="1" thickBot="1">
      <c r="A6" s="189"/>
      <c r="B6" s="184"/>
      <c r="C6" s="184"/>
      <c r="D6" s="190"/>
      <c r="E6" s="40"/>
      <c r="F6" s="31"/>
      <c r="G6" s="31"/>
      <c r="H6" s="102"/>
      <c r="I6" s="31"/>
      <c r="J6" s="103"/>
      <c r="K6" s="40"/>
      <c r="L6" s="40"/>
      <c r="M6" s="40"/>
      <c r="N6" s="40"/>
      <c r="O6" s="40"/>
      <c r="P6" s="43" t="s">
        <v>39</v>
      </c>
      <c r="Q6" s="43"/>
      <c r="R6" s="40"/>
    </row>
    <row r="7" spans="1:30" ht="18" customHeight="1">
      <c r="A7" s="172"/>
      <c r="B7" s="172"/>
      <c r="C7" s="172"/>
      <c r="D7" s="172"/>
      <c r="E7" s="40"/>
      <c r="F7" s="40"/>
      <c r="G7" s="40"/>
      <c r="H7" s="40"/>
      <c r="I7" s="40"/>
      <c r="J7" s="44"/>
      <c r="K7" s="44"/>
      <c r="L7" s="44"/>
      <c r="M7" s="44"/>
      <c r="N7" s="44"/>
      <c r="O7" s="40"/>
      <c r="P7" s="40"/>
      <c r="Q7" s="40"/>
      <c r="R7" s="40"/>
    </row>
    <row r="8" spans="1:30" s="46" customFormat="1" ht="34" customHeight="1">
      <c r="A8" s="174" t="s">
        <v>62</v>
      </c>
      <c r="B8" s="17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6"/>
      <c r="O8" s="45"/>
      <c r="P8" s="45" t="s">
        <v>39</v>
      </c>
      <c r="Q8" s="45"/>
      <c r="R8" s="45"/>
    </row>
    <row r="9" spans="1:30" s="41" customFormat="1" ht="64" customHeight="1">
      <c r="A9" s="47" t="s">
        <v>38</v>
      </c>
      <c r="B9" s="48" t="s">
        <v>61</v>
      </c>
      <c r="C9" s="179" t="s">
        <v>40</v>
      </c>
      <c r="D9" s="180"/>
      <c r="E9" s="181"/>
      <c r="F9" s="179" t="s">
        <v>59</v>
      </c>
      <c r="G9" s="182"/>
      <c r="H9" s="183"/>
      <c r="I9" s="179" t="s">
        <v>88</v>
      </c>
      <c r="J9" s="182"/>
      <c r="K9" s="183"/>
      <c r="L9" s="179" t="s">
        <v>89</v>
      </c>
      <c r="M9" s="182"/>
      <c r="N9" s="183"/>
      <c r="O9" s="40"/>
      <c r="P9" s="40"/>
      <c r="Q9" s="40"/>
      <c r="R9" s="40"/>
    </row>
    <row r="10" spans="1:30" s="41" customFormat="1" ht="43" customHeight="1" thickBot="1">
      <c r="A10" s="49"/>
      <c r="B10" s="34"/>
      <c r="C10" s="50" t="s">
        <v>70</v>
      </c>
      <c r="D10" s="177" t="s">
        <v>31</v>
      </c>
      <c r="E10" s="178"/>
      <c r="F10" s="51" t="s">
        <v>58</v>
      </c>
      <c r="G10" s="52" t="s">
        <v>90</v>
      </c>
      <c r="H10" s="53" t="s">
        <v>91</v>
      </c>
      <c r="I10" s="54" t="s">
        <v>71</v>
      </c>
      <c r="J10" s="177" t="s">
        <v>60</v>
      </c>
      <c r="K10" s="178"/>
      <c r="L10" s="50" t="s">
        <v>33</v>
      </c>
      <c r="M10" s="177" t="s">
        <v>60</v>
      </c>
      <c r="N10" s="178"/>
      <c r="O10" s="40"/>
      <c r="P10" s="55"/>
      <c r="Q10" s="40"/>
      <c r="R10" s="40"/>
    </row>
    <row r="11" spans="1:30" ht="25" customHeight="1">
      <c r="A11" s="56" t="s">
        <v>27</v>
      </c>
      <c r="B11" s="99"/>
      <c r="C11" s="57" t="str">
        <f t="array" ref="C11">IF(OR(ISBLANK(F6),ISBLANK(G6),ISBLANK(H6),ISBLANK(I6),ISBLANK(J6)), "-",
MMULT(X_Left_Accumbens_area, B_Left_Accumbens_area))</f>
        <v>-</v>
      </c>
      <c r="D11" s="58" t="str">
        <f t="array" ref="D11">IF(OR(ISBLANK(F6),ISBLANK(G6),ISBLANK(H6),ISBLANK(I6),ISBLANK(J6)), "-",
C11-t_left_accumbens_area*SQRT(MSE_left_accumbens_area*(1+MMULT(MMULT(X_Left_Accumbens_area,M_Left_Accumbens_area),TRANSPOSE(X_Left_Accumbens_area)))))</f>
        <v>-</v>
      </c>
      <c r="E11" s="59" t="str">
        <f t="array" ref="E11">IF(OR(ISBLANK(F6),ISBLANK(G6),ISBLANK(H6),ISBLANK(I6),ISBLANK(J6)), "-",
C11+t_left_accumbens_area*SQRT(MSE_left_accumbens_area*(1+MMULT(MMULT(X_Left_Accumbens_area,M_Left_Accumbens_area),TRANSPOSE(X_Left_Accumbens_area)))))</f>
        <v>-</v>
      </c>
      <c r="F11" s="120" t="str">
        <f t="array" ref="F11">IF(OR(ISBLANK(F6),ISBLANK(G6),ISBLANK(H6),ISBLANK(I6),ISBLANK(J6),ISBLANK(B11)), "-",
 (B11-C11)/ SQRT(MSE_left_accumbens_area*(1+MMULT(MMULT(X_Left_Accumbens_area,M_Left_Accumbens_area),TRANSPOSE(X_Left_Accumbens_area)))))</f>
        <v>-</v>
      </c>
      <c r="G11" s="60" t="str">
        <f>IF(OR(ISBLANK(F6),ISBLANK(G6),ISBLANK(H6),ISBLANK(I6),ISBLANK(J6),ISBLANK(B11)), "-",
TDIST(ABS(F11), Matrix!C3-2, 1))</f>
        <v>-</v>
      </c>
      <c r="H11" s="122" t="str">
        <f>IF(OR(ISBLANK(F$6),ISBLANK(G$6),ISBLANK(H$6),ISBLANK(I$6),ISBLANK(J$6),ISBLANK(B$11)), "-",
 INDEX(FDR,MATCH(A11,fdr_regions,0),0))</f>
        <v>-</v>
      </c>
      <c r="I11" s="61" t="str">
        <f t="array" ref="I11">IF(OR(ISBLANK(F6),ISBLANK(G6),ISBLANK(H6),ISBLANK(I6),ISBLANK(J6),ISBLANK(B11)), "-",
 (B11-C11)/ SQRT(Matrix!D3))</f>
        <v>-</v>
      </c>
      <c r="J11" s="62" t="str">
        <f t="array" ref="J11">IF(OR(ISBLANK(F6),ISBLANK(G6),ISBLANK(H6),ISBLANK(I6),ISBLANK(J6),ISBLANK(B11)), "-",
IF(AND(ABS(I11) &gt;0, ABS(I11)&lt; 0.043), NT_NCP(0.975,Matrix!C3-1,I11*SQRT(Matrix!C3),100,100)/SQRT(Matrix!C3), NCP_T_NC(0.975,I11*SQRT(Matrix!C3),Matrix!C3-1)/SQRT(Matrix!C3)))</f>
        <v>-</v>
      </c>
      <c r="K11" s="63" t="str">
        <f t="array" ref="K11">IF(OR(ISBLANK(F6),ISBLANK(G6),ISBLANK(H6),ISBLANK(I6),ISBLANK(J6),ISBLANK(B11)), "-",
IF(AND(ABS(I11) &gt;0, ABS(I11)&lt; 0.043), NT_NCP(0.025,Matrix!C3-1,I11*SQRT(Matrix!C3),100,100)/SQRT(Matrix!C3), NCP_T_NC(0.025,I11*SQRT(Matrix!C3),Matrix!C3-1)/SQRT(Matrix!C3)))</f>
        <v>-</v>
      </c>
      <c r="L11" s="64" t="str">
        <f t="array" ref="L11">IF(OR(ISBLANK(F6),ISBLANK(G6),ISBLANK(H6),ISBLANK(I6),ISBLANK(J6),ISBLANK(B11)), "-",
 IF(F11 &lt; 0, TDIST(ABS(F11), Matrix!C3-2, 1),1 - (TDIST(ABS(F11), Matrix!C3-2, 1))))</f>
        <v>-</v>
      </c>
      <c r="M11" s="65" t="str">
        <f t="array" ref="M11">IF(OR(ISBLANK(F6),ISBLANK(G6),ISBLANK(H6),ISBLANK(I6),ISBLANK(J6),ISBLANK(B11)), "-",
IF(F11&lt;0,
IF(AND(ABS(F11) &gt;0, ABS(F11)&lt; 0.043),
NORMSDIST(NT_NCP(0.975,Matrix!C3-1,F11*SQRT(Matrix!C3),100,100)/SQRT(Matrix!C3))*100,
NORMSDIST(NCP_T_NC(0.975,F11*SQRT(Matrix!C3),Matrix!C3-1)/SQRT(Matrix!C3))*100),
IF(AND(ABS(F11) &gt;0, ABS(F11)&lt; 0.043),
(NORMSDIST(NT_NCP(0.975,Matrix!C3-1,
F11*SQRT(Matrix!C3),100,100)/SQRT(Matrix!C3)))*100,
(NORMSDIST(NCP_T_NC(0.975,F11*SQRT(Matrix!C3),Matrix!C3-1)/SQRT(Matrix!C3)))*100)))</f>
        <v>-</v>
      </c>
      <c r="N11" s="66" t="str">
        <f t="array" ref="N11">IF(OR(ISBLANK(F6),ISBLANK(G6),ISBLANK(H6),ISBLANK(I6),ISBLANK(J6),ISBLANK(B11)), "-",
IF(F11&lt;0,
IF(AND(ABS(F11) &gt;0, ABS(F11)&lt; 0.043),
NORMSDIST(NT_NCP(0.025,Matrix!C3-1,F11*SQRT(Matrix!C3),100,100)/SQRT(Matrix!C3))*100,
NORMSDIST(NCP_T_NC(0.025,F11*SQRT(Matrix!C3),Matrix!C3-1)/SQRT(Matrix!C3))*100),
IF(AND(ABS(F11) &gt;0, ABS(F11)&lt; 0.043),
(NORMSDIST(NT_NCP(0.025,Matrix!C3-1,
F11*SQRT(Matrix!C3),100,100)/SQRT(Matrix!C3)))*100,
(NORMSDIST(NCP_T_NC(0.025,F11*SQRT(Matrix!C3),Matrix!C3-1)/SQRT(Matrix!C3)))*100)))</f>
        <v>-</v>
      </c>
      <c r="O11" s="67"/>
      <c r="P11" s="68"/>
      <c r="Q11" s="40"/>
      <c r="R11" s="40"/>
    </row>
    <row r="12" spans="1:30" ht="25" customHeight="1">
      <c r="A12" s="69" t="s">
        <v>28</v>
      </c>
      <c r="B12" s="32"/>
      <c r="C12" s="57" t="str">
        <f t="array" ref="C12">IF(OR(ISBLANK(F6),ISBLANK(G6),ISBLANK(H6),ISBLANK(I6),ISBLANK(J6)), "-",
MMULT(X_Right_Accumbens_area, B_Right_Accumbens_area))</f>
        <v>-</v>
      </c>
      <c r="D12" s="65" t="str">
        <f t="array" ref="D12">IF(OR(ISBLANK(F6),ISBLANK(G6),ISBLANK(H6),ISBLANK(I6),ISBLANK(J6)), "-",
C12-t_right_accumbens_area*SQRT(MSE_right_accumbens_area*(1+MMULT(MMULT(X_Right_Accumbens_area,M_Right_Accumbens_area),TRANSPOSE(X_Right_Accumbens_area)))))</f>
        <v>-</v>
      </c>
      <c r="E12" s="70" t="str">
        <f t="array" ref="E12">IF(OR(ISBLANK(F6),ISBLANK(G6),ISBLANK(H6),ISBLANK(I6),ISBLANK(J6)), "-",
C12+t_right_accumbens_area*SQRT(MSE_right_accumbens_area*(1+MMULT(MMULT(X_Right_Accumbens_area,M_Right_Accumbens_area),TRANSPOSE(X_Right_Accumbens_area)))))</f>
        <v>-</v>
      </c>
      <c r="F12" s="121" t="str">
        <f t="array" ref="F12">IF(OR(ISBLANK(F6),ISBLANK(G6),ISBLANK(H6),ISBLANK(I6),ISBLANK(J6),ISBLANK(B12)), "-",
(B12-C12)/ SQRT(MSE_right_accumbens_area*(1+MMULT(MMULT(X_Right_Accumbens_area,M_Right_Accumbens_area),TRANSPOSE(X_Right_Accumbens_area)))))</f>
        <v>-</v>
      </c>
      <c r="G12" s="71" t="str">
        <f t="array" ref="G12">IF(OR(ISBLANK(F6),ISBLANK(G6),ISBLANK(H6),ISBLANK(I6),ISBLANK(J6),ISBLANK(B12)), "-",
TDIST(ABS(F12), Matrix!C4-2, 1))</f>
        <v>-</v>
      </c>
      <c r="H12" s="122" t="str">
        <f t="array" ref="H12">IF(OR(ISBLANK(F$6),ISBLANK(G$6),ISBLANK(H$6),ISBLANK(I$6),ISBLANK(J$6),ISBLANK(B$11)), "-",
 INDEX(FDR,MATCH(A12,fdr_regions,0),0))</f>
        <v>-</v>
      </c>
      <c r="I12" s="63" t="str">
        <f t="array" ref="I12">IF(OR(ISBLANK(F6),ISBLANK(G6),ISBLANK(H6),ISBLANK(I6),ISBLANK(J6),ISBLANK(B12)), "-",
(B12-C12)/ SQRT(Matrix!D4))</f>
        <v>-</v>
      </c>
      <c r="J12" s="72" t="str">
        <f t="array" ref="J12">IF(OR(ISBLANK(F6),ISBLANK(G6),ISBLANK(H6),ISBLANK(I6),ISBLANK(J6),ISBLANK(B12)), "-",
IF(AND(ABS(I12) &gt;0, ABS(I12)&lt; 0.043), NT_NCP(0.975,Matrix!C4-1,I12*SQRT(Matrix!C4),100,100)/SQRT(Matrix!C4), NCP_T_NC(0.975,I12*SQRT(Matrix!C4),Matrix!C4-1)/SQRT(Matrix!C4)))</f>
        <v>-</v>
      </c>
      <c r="K12" s="73" t="str">
        <f t="array" ref="K12">IF(OR(ISBLANK(F6),ISBLANK(G6),ISBLANK(H6),ISBLANK(I6),ISBLANK(J6),ISBLANK(B12)), "-",
IF(AND(ABS(I12) &gt;0, ABS(I12)&lt; 0.043), NT_NCP(0.025,Matrix!C4-1,I12*SQRT(Matrix!C4),100,100)/SQRT(Matrix!C4), NCP_T_NC(0.025,I12*SQRT(Matrix!C4),Matrix!C4-1)/SQRT(Matrix!C4)))</f>
        <v>-</v>
      </c>
      <c r="L12" s="74" t="str">
        <f t="array" ref="L12">IF(OR(ISBLANK(F6),ISBLANK(G6),ISBLANK(H6),ISBLANK(I6),ISBLANK(J6),ISBLANK(B12)), "-",
IF(F12 &lt; 0, TDIST(ABS(F12), Matrix!C4-2, 1),1 - (TDIST(ABS(F12), Matrix!C4-2, 1))))</f>
        <v>-</v>
      </c>
      <c r="M12" s="65" t="str">
        <f t="array" ref="M12">IF(OR(ISBLANK(F6),ISBLANK(G6),ISBLANK(H6),ISBLANK(I6),ISBLANK(J6),ISBLANK(B12)), "-",
IF(F12&lt;0,
IF(AND(ABS(F12) &gt;0, ABS(F12)&lt; 0.043),
NORMSDIST(NT_NCP(0.975,Matrix!C4-1,F12*SQRT(Matrix!C4),100,100)/SQRT(Matrix!C4))*100,
NORMSDIST(NCP_T_NC(0.975,F12*SQRT(Matrix!C4),Matrix!C4-1)/SQRT(Matrix!C4))*100),
IF(AND(ABS(F12) &gt;0, ABS(F12)&lt; 0.043),
(NORMSDIST(NT_NCP(0.975,Matrix!C4-1,
F12*SQRT(Matrix!C4),100,100)/SQRT(Matrix!C4)))*100,
(NORMSDIST(NCP_T_NC(0.975,F12*SQRT(Matrix!C4),Matrix!C4-1)/SQRT(Matrix!C4)))*100)))</f>
        <v>-</v>
      </c>
      <c r="N12" s="66" t="str">
        <f t="array" ref="N12">IF(OR(ISBLANK(F6),ISBLANK(G6),ISBLANK(H6),ISBLANK(I6),ISBLANK(J6),ISBLANK(B12)), "-",
IF(F12&lt;0,
IF(AND(ABS(F12) &gt;0, ABS(F12)&lt; 0.043),
NORMSDIST(NT_NCP(0.025,Matrix!C4-1,F12*SQRT(Matrix!C4),100,100)/SQRT(Matrix!C4))*100,
NORMSDIST(NCP_T_NC(0.025,F12*SQRT(Matrix!C4),Matrix!C4-1)/SQRT(Matrix!C4))*100),
IF(AND(ABS(F12) &gt;0, ABS(F12)&lt; 0.043),
(NORMSDIST(NT_NCP(0.025,Matrix!C4-1,
F12*SQRT(Matrix!C4),100,100)/SQRT(Matrix!C4)))*100,
(NORMSDIST(NCP_T_NC(0.025,F12*SQRT(Matrix!C4),Matrix!C4-1)/SQRT(Matrix!C4)))*100)))</f>
        <v>-</v>
      </c>
      <c r="O12" s="40"/>
      <c r="P12" s="75"/>
      <c r="Q12" s="40"/>
      <c r="R12" s="40"/>
      <c r="X12" s="145"/>
    </row>
    <row r="13" spans="1:30" ht="25" customHeight="1">
      <c r="A13" s="76" t="s">
        <v>5</v>
      </c>
      <c r="B13" s="32"/>
      <c r="C13" s="57" t="str">
        <f>IF(OR(ISBLANK(F6),ISBLANK(G6),ISBLANK(H6),ISBLANK(I6),ISBLANK(J6)), "-",
MMULT(X_Left_Amygdala, B_Left_Amygdala))</f>
        <v>-</v>
      </c>
      <c r="D13" s="77" t="str">
        <f t="array" ref="D13">IF(OR(ISBLANK(F6),ISBLANK(G6),ISBLANK(H6),ISBLANK(I6),ISBLANK(J6)), "-",
C13-t_left_amygdala*SQRT(MSE_left_amygdala*(1+MMULT(MMULT(X_Left_Amygdala,M_Left_Amygdala),TRANSPOSE(X_Left_Amygdala)))))</f>
        <v>-</v>
      </c>
      <c r="E13" s="70" t="str">
        <f t="array" ref="E13">IF(OR(ISBLANK(F6),ISBLANK(G6),ISBLANK(H6),ISBLANK(I6),ISBLANK(J6)), "-",
C13+t_left_amygdala*SQRT(MSE_left_amygdala*(1+MMULT(MMULT(X_Left_Amygdala,M_Left_Amygdala),TRANSPOSE(X_Left_Amygdala)))))</f>
        <v>-</v>
      </c>
      <c r="F13" s="121" t="str">
        <f t="array" ref="F13">IF(OR(ISBLANK(F6),ISBLANK(G6),ISBLANK(H6),ISBLANK(I6),ISBLANK(J6),ISBLANK(B13)), "-",
(B13-C13)/ SQRT(MSE_left_amygdala*(1+MMULT(MMULT(X_Left_Amygdala,M_Left_Amygdala),TRANSPOSE(X_Left_Amygdala)))))</f>
        <v>-</v>
      </c>
      <c r="G13" s="71" t="str">
        <f t="array" ref="G13">IF(OR(ISBLANK(F6),ISBLANK(G6),ISBLANK(H6),ISBLANK(I6),ISBLANK(J6),ISBLANK(B13)), "-",
TDIST(ABS(F13), Matrix!C5-2, 1))</f>
        <v>-</v>
      </c>
      <c r="H13" s="122" t="str">
        <f>IF(OR(ISBLANK(F$6),ISBLANK(G$6),ISBLANK(H$6),ISBLANK(I$6),ISBLANK(J$6),ISBLANK(B$11)), "-",
 INDEX(FDR,MATCH(A13,fdr_regions,0),0))</f>
        <v>-</v>
      </c>
      <c r="I13" s="63" t="str">
        <f t="array" ref="I13">IF(OR(ISBLANK(F6),ISBLANK(G6),ISBLANK(H6),ISBLANK(I6),ISBLANK(J6),ISBLANK(B13)), "-",
(B13-C13)/ SQRT(Matrix!D5))</f>
        <v>-</v>
      </c>
      <c r="J13" s="72" t="str">
        <f t="array" ref="J13">IF(OR(ISBLANK(F6),ISBLANK(G6),ISBLANK(H6),ISBLANK(I6),ISBLANK(J6),ISBLANK(B13)), "-",
IF(AND(ABS(I13) &gt;0, ABS(I13)&lt; 0.043), NT_NCP(0.975,Matrix!C5-1,I13*SQRT(Matrix!C5),100,100)/SQRT(Matrix!C5), NCP_T_NC(0.975,I13*SQRT(Matrix!C5),Matrix!C5-1)/SQRT(Matrix!C5)))</f>
        <v>-</v>
      </c>
      <c r="K13" s="73" t="str">
        <f t="array" ref="K13">IF(OR(ISBLANK(F6),ISBLANK(G6),ISBLANK(H6),ISBLANK(I6),ISBLANK(J6),ISBLANK(B13)), "-",
IF(AND(ABS(I13) &gt;0, ABS(I13)&lt; 0.043), NT_NCP(0.025,Matrix!C5-1,I13*SQRT(Matrix!C5),100,100)/SQRT(Matrix!C5), NCP_T_NC(0.025,I13*SQRT(Matrix!C5),Matrix!C5-1)/SQRT(Matrix!C5)))</f>
        <v>-</v>
      </c>
      <c r="L13" s="74" t="str">
        <f t="array" ref="L13">IF(OR(ISBLANK(F6),ISBLANK(G6),ISBLANK(H6),ISBLANK(I6),ISBLANK(J6),ISBLANK(B13)), "-",
IF(F13 &lt; 0, TDIST(ABS(F13), Matrix!C5-2, 1),1 - (TDIST(ABS(F13), Matrix!C5-2, 1))))</f>
        <v>-</v>
      </c>
      <c r="M13" s="65" t="str">
        <f t="array" ref="M13">IF(OR(ISBLANK(F6),ISBLANK(G6),ISBLANK(H6),ISBLANK(I6),ISBLANK(J6),ISBLANK(B13)), "-",
IF(F13&lt;0,
IF(AND(ABS(F13) &gt;0, ABS(F13)&lt; 0.043),
NORMSDIST(NT_NCP(0.975,Matrix!C5-1,F13*SQRT(Matrix!C5),100,100)/SQRT(Matrix!C5))*100,
NORMSDIST(NCP_T_NC(0.975,F13*SQRT(Matrix!C5),Matrix!C5-1)/SQRT(Matrix!C5))*100),
IF(AND(ABS(F13) &gt;0, ABS(F13)&lt; 0.043),
(NORMSDIST(NT_NCP(0.975,Matrix!C5-1,
F13*SQRT(Matrix!C5),100,100)/SQRT(Matrix!C5)))*100,
(NORMSDIST(NCP_T_NC(0.975,F13*SQRT(Matrix!C5),Matrix!C5-1)/SQRT(Matrix!C5)))*100)))</f>
        <v>-</v>
      </c>
      <c r="N13" s="66" t="str">
        <f t="array" ref="N13">IF(OR(ISBLANK(F6),ISBLANK(G6),ISBLANK(H6),ISBLANK(I6),ISBLANK(J6),ISBLANK(B13)), "-",
IF(F13&lt;0,
IF(AND(ABS(F13) &gt;0, ABS(F13)&lt; 0.043),
NORMSDIST(NT_NCP(0.025,Matrix!C5-1,F13*SQRT(Matrix!C5),100,100)/SQRT(Matrix!C5))*100,
NORMSDIST(NCP_T_NC(0.025,F13*SQRT(Matrix!C5),Matrix!C5-1)/SQRT(Matrix!C5))*100),
IF(AND(ABS(F13) &gt;0, ABS(F13)&lt; 0.043),
(NORMSDIST(NT_NCP(0.025,Matrix!C5-1,
F13*SQRT(Matrix!C5),100,100)/SQRT(Matrix!C5)))*100,
(NORMSDIST(NCP_T_NC(0.025,F13*SQRT(Matrix!C5),Matrix!C5-1)/SQRT(Matrix!C5)))*100)))</f>
        <v>-</v>
      </c>
      <c r="O13" s="40"/>
      <c r="P13" s="40"/>
      <c r="Q13" s="40"/>
      <c r="R13" s="40"/>
      <c r="X13" s="145"/>
    </row>
    <row r="14" spans="1:30" ht="25" customHeight="1">
      <c r="A14" s="76" t="s">
        <v>6</v>
      </c>
      <c r="B14" s="32"/>
      <c r="C14" s="57" t="str">
        <f t="array" ref="C14">IF(OR(ISBLANK(F6),ISBLANK(G6),ISBLANK(H6),ISBLANK(I6),ISBLANK(J6)), "-",
MMULT(X_Right_Amygdala, B_Right_Amygdala))</f>
        <v>-</v>
      </c>
      <c r="D14" s="77" t="str">
        <f t="array" ref="D14">IF(OR(ISBLANK(F6),ISBLANK(G6),ISBLANK(H6),ISBLANK(I6),ISBLANK(J6)), "-",
C14-t_right_amygdala*SQRT(MSE_right_amygdala*(1+MMULT(MMULT(X_Right_Amygdala,M_Right_Amygdala),TRANSPOSE(X_Right_Amygdala)))))</f>
        <v>-</v>
      </c>
      <c r="E14" s="70" t="str">
        <f t="array" ref="E14">IF(OR(ISBLANK(F6),ISBLANK(G6),ISBLANK(H6),ISBLANK(I6),ISBLANK(J6)), "-",
C14+t_right_amygdala*SQRT(MSE_right_amygdala*(1+MMULT(MMULT(X_Right_Amygdala,M_Right_Amygdala),TRANSPOSE(X_Right_Amygdala)))))</f>
        <v>-</v>
      </c>
      <c r="F14" s="121" t="str">
        <f t="array" ref="F14">IF(OR(ISBLANK(F6),ISBLANK(G6),ISBLANK(H6),ISBLANK(I6),ISBLANK(J6),ISBLANK(B14)), "-",
(B14-C14)/ SQRT(MSE_right_amygdala*(1+MMULT(MMULT(X_Right_Amygdala,M_Right_Amygdala),TRANSPOSE(X_Right_Amygdala)))))</f>
        <v>-</v>
      </c>
      <c r="G14" s="71" t="str">
        <f t="array" ref="G14">IF(OR(ISBLANK(F6),ISBLANK(G6),ISBLANK(H6),ISBLANK(I6),ISBLANK(J6),ISBLANK(B14)), "-",
TDIST(ABS(F14), Matrix!C6-2, 1))</f>
        <v>-</v>
      </c>
      <c r="H14" s="122" t="str">
        <f>IF(OR(ISBLANK(F$6),ISBLANK(G$6),ISBLANK(H$6),ISBLANK(I$6),ISBLANK(J$6),ISBLANK(B$11)), "-",
 INDEX(FDR,MATCH(A14,fdr_regions,0),0))</f>
        <v>-</v>
      </c>
      <c r="I14" s="63" t="str">
        <f t="array" ref="I14">IF(OR(ISBLANK(F6),ISBLANK(G6),ISBLANK(H6),ISBLANK(I6),ISBLANK(J6),ISBLANK(B14)), "-",
(B14-C14)/ SQRT(Matrix!D6))</f>
        <v>-</v>
      </c>
      <c r="J14" s="72" t="str">
        <f t="array" ref="J14">IF(OR(ISBLANK(F6),ISBLANK(G6),ISBLANK(H6),ISBLANK(I6),ISBLANK(J6),ISBLANK(B14)), "-",
IF(AND(ABS(I14) &gt;0, ABS(I14)&lt; 0.043), NT_NCP(0.975,Matrix!C6-1,I14*SQRT(Matrix!C6),100,100)/SQRT(Matrix!C6), NCP_T_NC(0.975,I14*SQRT(Matrix!C6),Matrix!C6-1)/SQRT(Matrix!C6)))</f>
        <v>-</v>
      </c>
      <c r="K14" s="73" t="str">
        <f t="array" ref="K14">IF(OR(ISBLANK(F6),ISBLANK(G6),ISBLANK(H6),ISBLANK(I6),ISBLANK(J6),ISBLANK(B14)), "-",
IF(AND(ABS(I14) &gt;0, ABS(I14)&lt; 0.043), NT_NCP(0.025,Matrix!C6-1,I14*SQRT(Matrix!C6),100,100)/SQRT(Matrix!C6), NCP_T_NC(0.025,I14*SQRT(Matrix!C6),Matrix!C6-1)/SQRT(Matrix!C6)))</f>
        <v>-</v>
      </c>
      <c r="L14" s="74" t="str">
        <f t="array" ref="L14">IF(OR(ISBLANK(F6),ISBLANK(G6),ISBLANK(H6),ISBLANK(I6),ISBLANK(J6),ISBLANK(B14)), "-",
IF(F14 &lt; 0, TDIST(ABS(F14), Matrix!C6-2, 1),1 - (TDIST(ABS(F14), Matrix!C6-2, 1))))</f>
        <v>-</v>
      </c>
      <c r="M14" s="65" t="str">
        <f t="array" ref="M14">IF(OR(ISBLANK(F6),ISBLANK(G6),ISBLANK(H6),ISBLANK(I6),ISBLANK(J6),ISBLANK(B14)), "-",
IF(F14&lt;0,
IF(AND(ABS(F14) &gt;0, ABS(F14)&lt; 0.043),
NORMSDIST(NT_NCP(0.975,Matrix!C6-1,F14*SQRT(Matrix!C6),100,100)/SQRT(Matrix!C6))*100,
NORMSDIST(NCP_T_NC(0.975,F14*SQRT(Matrix!C6),Matrix!C6-1)/SQRT(Matrix!C6))*100),
IF(AND(ABS(F14) &gt;0, ABS(F14)&lt; 0.043),
(NORMSDIST(NT_NCP(0.975,Matrix!C6-1,
F14*SQRT(Matrix!C6),100,100)/SQRT(Matrix!C6)))*100,
(NORMSDIST(NCP_T_NC(0.975,F14*SQRT(Matrix!C6),Matrix!C6-1)/SQRT(Matrix!C6)))*100)))</f>
        <v>-</v>
      </c>
      <c r="N14" s="66" t="str">
        <f t="array" ref="N14">IF(OR(ISBLANK(F6),ISBLANK(G6),ISBLANK(H6),ISBLANK(I6),ISBLANK(J6),ISBLANK(B14)), "-",
IF(F14&lt;0,
IF(AND(ABS(F14) &gt;0, ABS(F14)&lt; 0.043),
NORMSDIST(NT_NCP(0.025,Matrix!C6-1,F14*SQRT(Matrix!C6),100,100)/SQRT(Matrix!C6))*100,
NORMSDIST(NCP_T_NC(0.025,F14*SQRT(Matrix!C6),Matrix!C6-1)/SQRT(Matrix!C6))*100),
IF(AND(ABS(F14) &gt;0, ABS(F14)&lt; 0.043),
(NORMSDIST(NT_NCP(0.025,Matrix!C6-1,
F14*SQRT(Matrix!C6),100,100)/SQRT(Matrix!C6)))*100,
(NORMSDIST(NCP_T_NC(0.025,F14*SQRT(Matrix!C6),Matrix!C6-1)/SQRT(Matrix!C6)))*100)))</f>
        <v>-</v>
      </c>
      <c r="O14" s="40"/>
      <c r="P14" s="40"/>
      <c r="Q14" s="78"/>
      <c r="R14" s="79"/>
      <c r="X14" s="145"/>
      <c r="Y14" s="80"/>
      <c r="Z14" s="80"/>
      <c r="AA14" s="80"/>
      <c r="AB14" s="80"/>
      <c r="AC14" s="80"/>
      <c r="AD14" s="80"/>
    </row>
    <row r="15" spans="1:30" ht="25" customHeight="1">
      <c r="A15" s="76" t="s">
        <v>7</v>
      </c>
      <c r="B15" s="32"/>
      <c r="C15" s="57" t="str">
        <f t="array" ref="C15">IF(OR(ISBLANK(F6),ISBLANK(G6),ISBLANK(H6),ISBLANK(I6),ISBLANK(J6)), "-",
MMULT(X_Brain_Stem, B_Brain_Stem))</f>
        <v>-</v>
      </c>
      <c r="D15" s="77" t="str">
        <f t="array" ref="D15">IF(OR(ISBLANK(F6),ISBLANK(G6),ISBLANK(H6),ISBLANK(I6),ISBLANK(J6)), "-",
C15-t_brain_stem*SQRT(MSE_brain_stem*(1+MMULT(MMULT(X_Brain_Stem,M_Brain_Stem),TRANSPOSE(X_Brain_Stem)))))</f>
        <v>-</v>
      </c>
      <c r="E15" s="70" t="str">
        <f t="array" ref="E15">IF(OR(ISBLANK(F6),ISBLANK(G6),ISBLANK(H6),ISBLANK(I6),ISBLANK(J6)), "-",
C15+t_brain_stem*SQRT(MSE_brain_stem*(1+MMULT(MMULT(X_Brain_Stem,M_Brain_Stem),TRANSPOSE(X_Brain_Stem)))))</f>
        <v>-</v>
      </c>
      <c r="F15" s="121" t="str">
        <f t="array" ref="F15">IF(OR(ISBLANK(F6),ISBLANK(G6),ISBLANK(H6),ISBLANK(I6),ISBLANK(J6),ISBLANK(B15)), "-",
(B15-C15)/ SQRT(MSE_brain_stem*(1+MMULT(MMULT(X_Brain_Stem,M_Brain_Stem),TRANSPOSE(X_Brain_Stem)))))</f>
        <v>-</v>
      </c>
      <c r="G15" s="71" t="str">
        <f t="array" ref="G15">IF(OR(ISBLANK(F6),ISBLANK(G6),ISBLANK(H6),ISBLANK(I6),ISBLANK(J6),ISBLANK(B15)), "-",
TDIST(ABS(F15), Matrix!C7-2, 1))</f>
        <v>-</v>
      </c>
      <c r="H15" s="122" t="str">
        <f>IF(OR(ISBLANK(F$6),ISBLANK(G$6),ISBLANK(H$6),ISBLANK(I$6),ISBLANK(J$6),ISBLANK(B$11)), "-",
 INDEX(FDR,MATCH(A15,fdr_regions,0),0))</f>
        <v>-</v>
      </c>
      <c r="I15" s="63" t="str">
        <f t="array" ref="I15">IF(OR(ISBLANK(F6),ISBLANK(G6),ISBLANK(H6),ISBLANK(I6),ISBLANK(J6),ISBLANK(B15)), "-",
(B15-C15)/ SQRT(Matrix!D7))</f>
        <v>-</v>
      </c>
      <c r="J15" s="72" t="str">
        <f t="array" ref="J15">IF(OR(ISBLANK(F6),ISBLANK(G6),ISBLANK(H6),ISBLANK(I6),ISBLANK(J6),ISBLANK(B15)), "-",
IF(AND(ABS(I15) &gt;0, ABS(I15)&lt; 0.043), NT_NCP(0.975,Matrix!C7-1,I15*SQRT(Matrix!C7),100,100)/SQRT(Matrix!C7), NCP_T_NC(0.975,I15*SQRT(Matrix!C7),Matrix!C7-1)/SQRT(Matrix!C7)))</f>
        <v>-</v>
      </c>
      <c r="K15" s="73" t="str">
        <f t="array" ref="K15">IF(OR(ISBLANK(F6),ISBLANK(G6),ISBLANK(H6),ISBLANK(I6),ISBLANK(J6),ISBLANK(B15)), "-",
IF(AND(ABS(I15) &gt;0, ABS(I15)&lt; 0.043), NT_NCP(0.025,Matrix!C7-1,I15*SQRT(Matrix!C7),100,100)/SQRT(Matrix!C7), NCP_T_NC(0.025,I15*SQRT(Matrix!C7),Matrix!C7-1)/SQRT(Matrix!C7)))</f>
        <v>-</v>
      </c>
      <c r="L15" s="74" t="str">
        <f t="array" ref="L15">IF(OR(ISBLANK(F6),ISBLANK(G6),ISBLANK(H6),ISBLANK(I6),ISBLANK(J6),ISBLANK(B15)), "-",
IF(F15 &lt; 0, TDIST(ABS(F15), Matrix!C7-2, 1),1 - (TDIST(ABS(F15), Matrix!C7-2, 1))))</f>
        <v>-</v>
      </c>
      <c r="M15" s="65" t="str">
        <f t="array" ref="M15">IF(OR(ISBLANK(F6),ISBLANK(G6),ISBLANK(H6),ISBLANK(I6),ISBLANK(J6),ISBLANK(B15)), "-",
IF(F15&lt;0,
IF(AND(ABS(F15) &gt;0, ABS(F15)&lt; 0.043),
NORMSDIST(NT_NCP(0.975,Matrix!C7-1,F15*SQRT(Matrix!C7),100,100)/SQRT(Matrix!C7))*100,
NORMSDIST(NCP_T_NC(0.975,F15*SQRT(Matrix!C7),Matrix!C7-1)/SQRT(Matrix!C7))*100),
IF(AND(ABS(F15) &gt;0, ABS(F15)&lt; 0.043),
(NORMSDIST(NT_NCP(0.975,Matrix!C7-1,
F15*SQRT(Matrix!C7),100,100)/SQRT(Matrix!C7)))*100,
(NORMSDIST(NCP_T_NC(0.975,F15*SQRT(Matrix!C7),Matrix!C7-1)/SQRT(Matrix!C7)))*100)))</f>
        <v>-</v>
      </c>
      <c r="N15" s="66" t="str">
        <f t="array" ref="N15">IF(OR(ISBLANK(F6),ISBLANK(G6),ISBLANK(H6),ISBLANK(I6),ISBLANK(J6),ISBLANK(B15)), "-",
IF(F15&lt;0,
IF(AND(ABS(F15) &gt;0, ABS(F15)&lt; 0.043),
NORMSDIST(NT_NCP(0.025,Matrix!C7-1,F15*SQRT(Matrix!C7),100,100)/SQRT(Matrix!C7))*100,
NORMSDIST(NCP_T_NC(0.025,F15*SQRT(Matrix!C7),Matrix!C7-1)/SQRT(Matrix!C7))*100),
IF(AND(ABS(F15) &gt;0, ABS(F15)&lt; 0.043),
(NORMSDIST(NT_NCP(0.025,Matrix!C7-1,
F15*SQRT(Matrix!C7),100,100)/SQRT(Matrix!C7)))*100,
(NORMSDIST(NCP_T_NC(0.025,F15*SQRT(Matrix!C7),Matrix!C7-1)/SQRT(Matrix!C7)))*100)))</f>
        <v>-</v>
      </c>
      <c r="O15" s="40"/>
      <c r="P15" s="40"/>
      <c r="Q15" s="40"/>
      <c r="R15" s="40"/>
      <c r="X15" s="145"/>
    </row>
    <row r="16" spans="1:30" ht="25" customHeight="1">
      <c r="A16" s="76" t="s">
        <v>8</v>
      </c>
      <c r="B16" s="32"/>
      <c r="C16" s="57" t="str">
        <f>IF(OR(ISBLANK(F6),ISBLANK(G6),ISBLANK(H6),ISBLANK(I6),ISBLANK(J6)), "-",
MMULT(X_Left_Caudate, B_Left_Caudate))</f>
        <v>-</v>
      </c>
      <c r="D16" s="77" t="str">
        <f t="array" ref="D16">IF(OR(ISBLANK(F6),ISBLANK(G6),ISBLANK(H6),ISBLANK(I6),ISBLANK(J6)), "-",
C16-t_left_caudate*SQRT(MSE_left_caudate*(1+MMULT(MMULT(X_Left_Caudate,M_Left_Caudate),TRANSPOSE(X_Left_Caudate)))))</f>
        <v>-</v>
      </c>
      <c r="E16" s="70" t="str">
        <f t="array" ref="E16">IF(OR(ISBLANK(F6),ISBLANK(G6),ISBLANK(H6),ISBLANK(I6),ISBLANK(J6)), "-",
C16+t_left_caudate*SQRT(MSE_left_caudate*(1+MMULT(MMULT(X_Left_Caudate,M_Left_Caudate),TRANSPOSE(X_Left_Caudate)))))</f>
        <v>-</v>
      </c>
      <c r="F16" s="121" t="str">
        <f t="array" ref="F16">IF(OR(ISBLANK(F6),ISBLANK(G6),ISBLANK(H6),ISBLANK(I6),ISBLANK(J6),ISBLANK(B16)), "-",
(B16-C16)/ SQRT(MSE_left_caudate*(1+MMULT(MMULT(X_Left_Caudate,M_Left_Caudate),TRANSPOSE(X_Left_Caudate)))))</f>
        <v>-</v>
      </c>
      <c r="G16" s="71" t="str">
        <f t="array" ref="G16">IF(OR(ISBLANK(F6),ISBLANK(G6),ISBLANK(H6),ISBLANK(I6),ISBLANK(J6),ISBLANK(B16)), "-",
TDIST(ABS(F16), Matrix!C8-2, 1))</f>
        <v>-</v>
      </c>
      <c r="H16" s="122" t="str">
        <f t="array" ref="H16">IF(OR(ISBLANK(F$6),ISBLANK(G$6),ISBLANK(H$6),ISBLANK(I$6),ISBLANK(J$6),ISBLANK(B$11)), "-",
 INDEX(FDR,MATCH(A16,fdr_regions,0),0))</f>
        <v>-</v>
      </c>
      <c r="I16" s="63" t="str">
        <f t="array" ref="I16">IF(OR(ISBLANK(F6),ISBLANK(G6),ISBLANK(H6),ISBLANK(I6),ISBLANK(J6),ISBLANK(B16)), "-",
(B16-C16)/ SQRT(Matrix!D8))</f>
        <v>-</v>
      </c>
      <c r="J16" s="72" t="str">
        <f t="array" ref="J16">IF(OR(ISBLANK(F6),ISBLANK(G6),ISBLANK(H6),ISBLANK(I6),ISBLANK(J6),ISBLANK(B16)), "-",
IF(AND(ABS(I16) &gt;0, ABS(I16)&lt; 0.043), NT_NCP(0.975,Matrix!C8-1,I16*SQRT(Matrix!C8),100,100)/SQRT(Matrix!C8), NCP_T_NC(0.975,I16*SQRT(Matrix!C8),Matrix!C8-1)/SQRT(Matrix!C8)))</f>
        <v>-</v>
      </c>
      <c r="K16" s="73" t="str">
        <f t="array" ref="K16">IF(OR(ISBLANK(F6),ISBLANK(G6),ISBLANK(H6),ISBLANK(I6),ISBLANK(J6),ISBLANK(B16)), "-",
IF(AND(ABS(I16) &gt;0, ABS(I16)&lt; 0.043), NT_NCP(0.025,Matrix!C8-1,I16*SQRT(Matrix!C8),100,100)/SQRT(Matrix!C8), NCP_T_NC(0.025,I16*SQRT(Matrix!C8),Matrix!C8-1)/SQRT(Matrix!C8)))</f>
        <v>-</v>
      </c>
      <c r="L16" s="74" t="str">
        <f t="array" ref="L16">IF(OR(ISBLANK(F6),ISBLANK(G6),ISBLANK(H6),ISBLANK(I6),ISBLANK(J6),ISBLANK(B16)), "-",
IF(F16 &lt; 0, TDIST(ABS(F16), Matrix!C8-2, 1),1 - (TDIST(ABS(F16), Matrix!C8-2, 1))))</f>
        <v>-</v>
      </c>
      <c r="M16" s="65" t="str">
        <f t="array" ref="M16">IF(OR(ISBLANK(F6),ISBLANK(G6),ISBLANK(H6),ISBLANK(I6),ISBLANK(J6),ISBLANK(B16)), "-",
IF(F16&lt;0,
IF(AND(ABS(F16) &gt;0, ABS(F16)&lt; 0.043),
NORMSDIST(NT_NCP(0.975,Matrix!C8-1,F16*SQRT(Matrix!C8),100,100)/SQRT(Matrix!C8))*100,
NORMSDIST(NCP_T_NC(0.975,F16*SQRT(Matrix!C8),Matrix!C8-1)/SQRT(Matrix!C8))*100),
IF(AND(ABS(F16) &gt;0, ABS(F16)&lt; 0.043),
(NORMSDIST(NT_NCP(0.975,Matrix!C8-1,
F16*SQRT(Matrix!C8),100,100)/SQRT(Matrix!C8)))*100,
(NORMSDIST(NCP_T_NC(0.975,F16*SQRT(Matrix!C8),Matrix!C8-1)/SQRT(Matrix!C8)))*100)))</f>
        <v>-</v>
      </c>
      <c r="N16" s="66" t="str">
        <f t="array" ref="N16">IF(OR(ISBLANK(F6),ISBLANK(G6),ISBLANK(H6),ISBLANK(I6),ISBLANK(J6),ISBLANK(B16)), "-",
IF(F16&lt;0,
IF(AND(ABS(F16) &gt;0, ABS(F16)&lt; 0.043),
NORMSDIST(NT_NCP(0.025,Matrix!C8-1,F16*SQRT(Matrix!C8),100,100)/SQRT(Matrix!C8))*100,
NORMSDIST(NCP_T_NC(0.025,F16*SQRT(Matrix!C8),Matrix!C8-1)/SQRT(Matrix!C8))*100),
IF(AND(ABS(F16) &gt;0, ABS(F16)&lt; 0.043),
(NORMSDIST(NT_NCP(0.025,Matrix!C8-1,
F16*SQRT(Matrix!C8),100,100)/SQRT(Matrix!C8)))*100,
(NORMSDIST(NCP_T_NC(0.025,F16*SQRT(Matrix!C8),Matrix!C8-1)/SQRT(Matrix!C8)))*100)))</f>
        <v>-</v>
      </c>
      <c r="O16" s="40"/>
      <c r="P16" s="40"/>
      <c r="Q16" s="40"/>
      <c r="R16" s="40"/>
      <c r="X16" s="145"/>
    </row>
    <row r="17" spans="1:32" ht="25" customHeight="1">
      <c r="A17" s="76" t="s">
        <v>9</v>
      </c>
      <c r="B17" s="32"/>
      <c r="C17" s="57" t="str">
        <f>IF(OR(ISBLANK(F6),ISBLANK(G6),ISBLANK(H6),ISBLANK(I6),ISBLANK(J6)), "-",
MMULT(X_Right_Caudate, B_Right_Caudate))</f>
        <v>-</v>
      </c>
      <c r="D17" s="77" t="str">
        <f t="array" ref="D17">IF(OR(ISBLANK(F6),ISBLANK(G6),ISBLANK(H6),ISBLANK(I6),ISBLANK(J6)), "-",
C17-t_right_caudate*SQRT(MSE_right_caudate*(1+MMULT(MMULT(X_Right_Caudate,M_Right_Caudate),TRANSPOSE(X_Right_Caudate)))))</f>
        <v>-</v>
      </c>
      <c r="E17" s="70" t="str">
        <f t="array" ref="E17">IF(OR(ISBLANK(F6),ISBLANK(G6),ISBLANK(H6),ISBLANK(I6),ISBLANK(J6)), "-",
C17+t_right_caudate*SQRT(MSE_right_caudate*(1+MMULT(MMULT(X_Right_Caudate,M_Right_Caudate),TRANSPOSE(X_Right_Caudate)))))</f>
        <v>-</v>
      </c>
      <c r="F17" s="121" t="str">
        <f t="array" ref="F17">IF(OR(ISBLANK(F6),ISBLANK(G6),ISBLANK(H6),ISBLANK(I6),ISBLANK(J6),ISBLANK(B17)), "-",
(B17-C17)/ SQRT(MSE_right_caudate*(1+MMULT(MMULT(X_Right_Caudate,M_Right_Caudate),TRANSPOSE(X_Right_Caudate)))))</f>
        <v>-</v>
      </c>
      <c r="G17" s="71" t="str">
        <f t="array" ref="G17">IF(OR(ISBLANK(F6),ISBLANK(G6),ISBLANK(H6),ISBLANK(I6),ISBLANK(J6),ISBLANK(B17)), "-",
TDIST(ABS(F17), Matrix!C9-2, 1))</f>
        <v>-</v>
      </c>
      <c r="H17" s="122" t="str">
        <f t="array" ref="H17">IF(OR(ISBLANK(F$6),ISBLANK(G$6),ISBLANK(H$6),ISBLANK(I$6),ISBLANK(J$6),ISBLANK(B$11)), "-",
 INDEX(FDR,MATCH(A17,fdr_regions,0),0))</f>
        <v>-</v>
      </c>
      <c r="I17" s="63" t="str">
        <f t="array" ref="I17">IF(OR(ISBLANK(F6),ISBLANK(G6),ISBLANK(H6),ISBLANK(I6),ISBLANK(J6),ISBLANK(B17)), "-",
(B17-C17)/ SQRT(Matrix!D9))</f>
        <v>-</v>
      </c>
      <c r="J17" s="72" t="str">
        <f t="array" ref="J17">IF(OR(ISBLANK(F6),ISBLANK(G6),ISBLANK(H6),ISBLANK(I6),ISBLANK(J6),ISBLANK(B17)), "-",
IF(AND(ABS(I17) &gt;0, ABS(I17)&lt; 0.043), NT_NCP(0.975,Matrix!C9-1,I17*SQRT(Matrix!C9),100,100)/SQRT(Matrix!C9), NCP_T_NC(0.975,I17*SQRT(Matrix!C9),Matrix!C9-1)/SQRT(Matrix!C9)))</f>
        <v>-</v>
      </c>
      <c r="K17" s="73" t="str">
        <f t="array" ref="K17">IF(OR(ISBLANK(F6),ISBLANK(G6),ISBLANK(H6),ISBLANK(I6),ISBLANK(J6),ISBLANK(B17)), "-",
IF(AND(ABS(I17) &gt;0, ABS(I17)&lt; 0.043), NT_NCP(0.025,Matrix!C9-1,I17*SQRT(Matrix!C9),100,100)/SQRT(Matrix!C9), NCP_T_NC(0.025,I17*SQRT(Matrix!C9),Matrix!C9-1)/SQRT(Matrix!C9)))</f>
        <v>-</v>
      </c>
      <c r="L17" s="74" t="str">
        <f t="array" ref="L17">IF(OR(ISBLANK(F6),ISBLANK(G6),ISBLANK(H6),ISBLANK(I6),ISBLANK(J6),ISBLANK(B17)), "-",
IF(F17 &lt; 0, TDIST(ABS(F17), Matrix!C9-2, 1),1 - (TDIST(ABS(F17), Matrix!C9-2, 1))))</f>
        <v>-</v>
      </c>
      <c r="M17" s="65" t="str">
        <f t="array" ref="M17">IF(OR(ISBLANK(F6),ISBLANK(G6),ISBLANK(H6),ISBLANK(I6),ISBLANK(J6),ISBLANK(B17)), "-",
IF(F17&lt;0,
IF(AND(ABS(F17) &gt;0, ABS(F17)&lt; 0.043),
NORMSDIST(NT_NCP(0.975,Matrix!C9-1,F17*SQRT(Matrix!C9),100,100)/SQRT(Matrix!C9))*100,
NORMSDIST(NCP_T_NC(0.975,F17*SQRT(Matrix!C9),Matrix!C9-1)/SQRT(Matrix!C9))*100),
IF(AND(ABS(F17) &gt;0, ABS(F17)&lt; 0.043),
(NORMSDIST(NT_NCP(0.975,Matrix!C9-1,
F17*SQRT(Matrix!C9),100,100)/SQRT(Matrix!C9)))*100,
(NORMSDIST(NCP_T_NC(0.975,F17*SQRT(Matrix!C9),Matrix!C9-1)/SQRT(Matrix!C9)))*100)))</f>
        <v>-</v>
      </c>
      <c r="N17" s="66" t="str">
        <f t="array" ref="N17">IF(OR(ISBLANK(F6),ISBLANK(G6),ISBLANK(H6),ISBLANK(I6),ISBLANK(J6),ISBLANK(B17)), "-",
IF(F17&lt;0,
IF(AND(ABS(F17) &gt;0, ABS(F17)&lt; 0.043),
NORMSDIST(NT_NCP(0.025,Matrix!C9-1,F17*SQRT(Matrix!C9),100,100)/SQRT(Matrix!C9))*100,
NORMSDIST(NCP_T_NC(0.025,F17*SQRT(Matrix!C9),Matrix!C9-1)/SQRT(Matrix!C9))*100),
IF(AND(ABS(F17) &gt;0, ABS(F17)&lt; 0.043),
(NORMSDIST(NT_NCP(0.025,Matrix!C9-1,
F17*SQRT(Matrix!C9),100,100)/SQRT(Matrix!C9)))*100,
(NORMSDIST(NCP_T_NC(0.025,F17*SQRT(Matrix!C9),Matrix!C9-1)/SQRT(Matrix!C9)))*100)))</f>
        <v>-</v>
      </c>
      <c r="O17" s="40"/>
      <c r="P17" s="40"/>
      <c r="Q17" s="40"/>
      <c r="R17" s="40"/>
      <c r="X17" s="145"/>
    </row>
    <row r="18" spans="1:32" ht="25" customHeight="1">
      <c r="A18" s="76" t="s">
        <v>11</v>
      </c>
      <c r="B18" s="32"/>
      <c r="C18" s="57" t="str">
        <f t="array" ref="C18">IF(OR(ISBLANK(F6),ISBLANK(G6),ISBLANK(H6),ISBLANK(I6),ISBLANK(J6)), "-",
MMULT(X_Left_Hippocampus, B_Left_Hippocampus))</f>
        <v>-</v>
      </c>
      <c r="D18" s="77" t="str">
        <f t="array" ref="D18">IF(OR(ISBLANK(F6),ISBLANK(G6),ISBLANK(H6),ISBLANK(I6),ISBLANK(J6)), "-",
C18-t_left_hippocampus*SQRT(MSE_left_hippocampus*(1+MMULT(MMULT(X_Left_Hippocampus,M_Left_Hippocampus),TRANSPOSE(X_Left_Hippocampus)))))</f>
        <v>-</v>
      </c>
      <c r="E18" s="70" t="str">
        <f t="array" ref="E18">IF(OR(ISBLANK(F6),ISBLANK(G6),ISBLANK(H6),ISBLANK(I6),ISBLANK(J6)), "-",
C18+t_left_hippocampus*SQRT(MSE_left_hippocampus*(1+MMULT(MMULT(X_Left_Hippocampus,M_Left_Hippocampus),TRANSPOSE(X_Left_Hippocampus)))))</f>
        <v>-</v>
      </c>
      <c r="F18" s="121" t="str">
        <f t="array" ref="F18">IF(OR(ISBLANK(F6),ISBLANK(G6),ISBLANK(H6),ISBLANK(I6),ISBLANK(J6),ISBLANK(B18)), "-",
(B18-C18)/ SQRT(MSE_left_hippocampus*(1+MMULT(MMULT(X_Left_Hippocampus,M_Left_Hippocampus),TRANSPOSE(X_Left_Hippocampus)))))</f>
        <v>-</v>
      </c>
      <c r="G18" s="71" t="str">
        <f t="array" ref="G18">IF(OR(ISBLANK(F6),ISBLANK(G6),ISBLANK(H6),ISBLANK(I6),ISBLANK(J6),ISBLANK(B18)), "-",
TDIST(ABS(F18), Matrix!C10-2, 1))</f>
        <v>-</v>
      </c>
      <c r="H18" s="122" t="str">
        <f t="array" ref="H18">IF(OR(ISBLANK(F$6),ISBLANK(G$6),ISBLANK(H$6),ISBLANK(I$6),ISBLANK(J$6),ISBLANK(B$11)), "-",
 INDEX(FDR,MATCH(A18,fdr_regions,0),0))</f>
        <v>-</v>
      </c>
      <c r="I18" s="63" t="str">
        <f t="array" ref="I18">IF(OR(ISBLANK(F6),ISBLANK(G6),ISBLANK(H6),ISBLANK(I6),ISBLANK(J6),ISBLANK(B18)), "-",
(B18-C18)/ SQRT(Matrix!D10))</f>
        <v>-</v>
      </c>
      <c r="J18" s="72" t="str">
        <f t="array" ref="J18">IF(OR(ISBLANK(F6),ISBLANK(G6),ISBLANK(H6),ISBLANK(I6),ISBLANK(J6),ISBLANK(B18)), "-",
IF(AND(ABS(I18) &gt;0, ABS(I18)&lt; 0.043), NT_NCP(0.975,Matrix!C10-1,I18*SQRT(Matrix!C10),100,100)/SQRT(Matrix!C10), NCP_T_NC(0.975,I18*SQRT(Matrix!C10),Matrix!C10-1)/SQRT(Matrix!C10)))</f>
        <v>-</v>
      </c>
      <c r="K18" s="73" t="str">
        <f t="array" ref="K18">IF(OR(ISBLANK(F6),ISBLANK(G6),ISBLANK(H6),ISBLANK(I6),ISBLANK(J6),ISBLANK(B18)), "-",
IF(AND(ABS(I18) &gt;0, ABS(I18)&lt; 0.043), NT_NCP(0.025,Matrix!C10-1,I18*SQRT(Matrix!C10),100,100)/SQRT(Matrix!C10), NCP_T_NC(0.025,I18*SQRT(Matrix!C10),Matrix!C10-1)/SQRT(Matrix!C10)))</f>
        <v>-</v>
      </c>
      <c r="L18" s="74" t="str">
        <f t="array" ref="L18">IF(OR(ISBLANK(F6),ISBLANK(G6),ISBLANK(H6),ISBLANK(I6),ISBLANK(J6),ISBLANK(B18)), "-",
IF(F18 &lt; 0, TDIST(ABS(F18), Matrix!C10-2, 1),1 - (TDIST(ABS(F18), Matrix!C10-2, 1))))</f>
        <v>-</v>
      </c>
      <c r="M18" s="65" t="str">
        <f t="array" ref="M18">IF(OR(ISBLANK(F6),ISBLANK(G6),ISBLANK(H6),ISBLANK(I6),ISBLANK(J6),ISBLANK(B18)), "-",
IF(F18&lt;0,
IF(AND(ABS(F18) &gt;0, ABS(F18)&lt; 0.043),
NORMSDIST(NT_NCP(0.975,Matrix!C10-1,F18*SQRT(Matrix!C10),100,100)/SQRT(Matrix!C10))*100,
NORMSDIST(NCP_T_NC(0.975,F18*SQRT(Matrix!C10),Matrix!C10-1)/SQRT(Matrix!C10))*100),
IF(AND(ABS(F18) &gt;0, ABS(F18)&lt; 0.043),
(NORMSDIST(NT_NCP(0.975,Matrix!C10-1,
F18*SQRT(Matrix!C10),100,100)/SQRT(Matrix!C10)))*100,
(NORMSDIST(NCP_T_NC(0.975,F18*SQRT(Matrix!C10),Matrix!C10-1)/SQRT(Matrix!C10)))*100)))</f>
        <v>-</v>
      </c>
      <c r="N18" s="66" t="str">
        <f t="array" ref="N18">IF(OR(ISBLANK(F6),ISBLANK(G6),ISBLANK(H6),ISBLANK(I6),ISBLANK(J6),ISBLANK(B18)), "-",
IF(F18&lt;0,
IF(AND(ABS(F18) &gt;0, ABS(F18)&lt; 0.043),
NORMSDIST(NT_NCP(0.025,Matrix!C10-1,F18*SQRT(Matrix!C10),100,100)/SQRT(Matrix!C10))*100,
NORMSDIST(NCP_T_NC(0.025,F18*SQRT(Matrix!C10),Matrix!C10-1)/SQRT(Matrix!C10))*100),
IF(AND(ABS(F18) &gt;0, ABS(F18)&lt; 0.043),
(NORMSDIST(NT_NCP(0.025,Matrix!C10-1,
F18*SQRT(Matrix!C10),100,100)/SQRT(Matrix!C10)))*100,
(NORMSDIST(NCP_T_NC(0.025,F18*SQRT(Matrix!C10),Matrix!C10-1)/SQRT(Matrix!C10)))*100)))</f>
        <v>-</v>
      </c>
      <c r="O18" s="40"/>
      <c r="P18" s="40"/>
      <c r="Q18" s="40"/>
      <c r="R18" s="40"/>
      <c r="X18" s="145"/>
    </row>
    <row r="19" spans="1:32" ht="25" customHeight="1">
      <c r="A19" s="76" t="s">
        <v>12</v>
      </c>
      <c r="B19" s="32"/>
      <c r="C19" s="57" t="str">
        <f t="array" ref="C19">IF(OR(ISBLANK(F6),ISBLANK(G6),ISBLANK(H6),ISBLANK(I6),ISBLANK(J6)), "-",
MMULT(X_Right_Hippocampus, B_Right_Hippocampus))</f>
        <v>-</v>
      </c>
      <c r="D19" s="77" t="str">
        <f t="array" ref="D19">IF(OR(ISBLANK(F6),ISBLANK(G6),ISBLANK(H6),ISBLANK(I6),ISBLANK(J6)), "-",
C19-t_right_hippocampus*SQRT(MSE_right_hippocampus*(1+MMULT(MMULT(X_Right_Hippocampus,M_Right_Hippocampus),TRANSPOSE(X_Right_Hippocampus)))))</f>
        <v>-</v>
      </c>
      <c r="E19" s="70" t="str">
        <f t="array" ref="E19">IF(OR(ISBLANK(F6),ISBLANK(G6),ISBLANK(H6),ISBLANK(I6),ISBLANK(J6)), "-",
C19+t_right_hippocampus*SQRT(MSE_right_hippocampus*(1+MMULT(MMULT(X_Right_Hippocampus,M_Right_Hippocampus),TRANSPOSE(X_Right_Hippocampus)))))</f>
        <v>-</v>
      </c>
      <c r="F19" s="121" t="str">
        <f t="array" ref="F19">IF(OR(ISBLANK(F6),ISBLANK(G6),ISBLANK(H6),ISBLANK(I6),ISBLANK(J6),ISBLANK(B19)), "-",
(B19-C19)/ SQRT(MSE_right_hippocampus*(1+MMULT(MMULT(X_Right_Hippocampus,M_Right_Hippocampus),TRANSPOSE(X_Right_Hippocampus)))))</f>
        <v>-</v>
      </c>
      <c r="G19" s="71" t="str">
        <f t="array" ref="G19">IF(OR(ISBLANK(F6),ISBLANK(G6),ISBLANK(H6),ISBLANK(I6),ISBLANK(J6),ISBLANK(B19)), "-",
TDIST(ABS(F19), Matrix!C11-2, 1))</f>
        <v>-</v>
      </c>
      <c r="H19" s="122" t="str">
        <f t="array" ref="H19">IF(OR(ISBLANK(F$6),ISBLANK(G$6),ISBLANK(H$6),ISBLANK(I$6),ISBLANK(J$6),ISBLANK(B$11)), "-",
 INDEX(FDR,MATCH(A19,fdr_regions,0),0))</f>
        <v>-</v>
      </c>
      <c r="I19" s="63" t="str">
        <f t="array" ref="I19">IF(OR(ISBLANK(F6),ISBLANK(G6),ISBLANK(H6),ISBLANK(I6),ISBLANK(J6),ISBLANK(B19)), "-",
(B19-C19)/ SQRT(Matrix!D11))</f>
        <v>-</v>
      </c>
      <c r="J19" s="72" t="str">
        <f t="array" ref="J19">IF(OR(ISBLANK(F6),ISBLANK(G6),ISBLANK(H6),ISBLANK(I6),ISBLANK(J6),ISBLANK(B19)), "-",
IF(AND(ABS(I19) &gt;0, ABS(I19)&lt; 0.043), NT_NCP(0.975,Matrix!C11-1,I19*SQRT(Matrix!C11),100,100)/SQRT(Matrix!C11), NCP_T_NC(0.975,I19*SQRT(Matrix!C11),Matrix!C11-1)/SQRT(Matrix!C11)))</f>
        <v>-</v>
      </c>
      <c r="K19" s="73" t="str">
        <f t="array" ref="K19">IF(OR(ISBLANK(F6),ISBLANK(G6),ISBLANK(H6),ISBLANK(I6),ISBLANK(J6),ISBLANK(B19)), "-",
IF(AND(ABS(I19) &gt;0, ABS(I19)&lt; 0.043), NT_NCP(0.025,Matrix!C11-1,I19*SQRT(Matrix!C11),100,100)/SQRT(Matrix!C11), NCP_T_NC(0.025,I19*SQRT(Matrix!C11),Matrix!C11-1)/SQRT(Matrix!C11)))</f>
        <v>-</v>
      </c>
      <c r="L19" s="74" t="str">
        <f t="array" ref="L19">IF(OR(ISBLANK(F6),ISBLANK(G6),ISBLANK(H6),ISBLANK(I6),ISBLANK(J6),ISBLANK(B19)), "-",
IF(F19 &lt; 0, TDIST(ABS(F19), Matrix!C11-2, 1),1 - (TDIST(ABS(F19), Matrix!C11-2, 1))))</f>
        <v>-</v>
      </c>
      <c r="M19" s="65" t="str">
        <f t="array" ref="M19">IF(OR(ISBLANK(F6),ISBLANK(G6),ISBLANK(H6),ISBLANK(I6),ISBLANK(J6),ISBLANK(B19)), "-",
IF(F19&lt;0,
IF(AND(ABS(F19) &gt;0, ABS(F19)&lt; 0.043),
NORMSDIST(NT_NCP(0.975,Matrix!C11-1,F19*SQRT(Matrix!C11),100,100)/SQRT(Matrix!C11))*100,
NORMSDIST(NCP_T_NC(0.975,F19*SQRT(Matrix!C11),Matrix!C11-1)/SQRT(Matrix!C11))*100),
IF(AND(ABS(F19) &gt;0, ABS(F19)&lt; 0.043),
(NORMSDIST(NT_NCP(0.975,Matrix!C11-1,
F19*SQRT(Matrix!C11),100,100)/SQRT(Matrix!C11)))*100,
(NORMSDIST(NCP_T_NC(0.975,F19*SQRT(Matrix!C11),Matrix!C11-1)/SQRT(Matrix!C11)))*100)))</f>
        <v>-</v>
      </c>
      <c r="N19" s="66" t="str">
        <f t="array" ref="N19">IF(OR(ISBLANK(F6),ISBLANK(G6),ISBLANK(H6),ISBLANK(I6),ISBLANK(J6),ISBLANK(B19)), "-",
IF(F19&lt;0,
IF(AND(ABS(F19) &gt;0, ABS(F19)&lt; 0.043),
NORMSDIST(NT_NCP(0.025,Matrix!C11-1,F19*SQRT(Matrix!C11),100,100)/SQRT(Matrix!C11))*100,
NORMSDIST(NCP_T_NC(0.025,F19*SQRT(Matrix!C11),Matrix!C11-1)/SQRT(Matrix!C11))*100),
IF(AND(ABS(F19) &gt;0, ABS(F19)&lt; 0.043),
(NORMSDIST(NT_NCP(0.025,Matrix!C11-1,
F19*SQRT(Matrix!C11),100,100)/SQRT(Matrix!C11)))*100,
(NORMSDIST(NCP_T_NC(0.025,F19*SQRT(Matrix!C11),Matrix!C11-1)/SQRT(Matrix!C11)))*100)))</f>
        <v>-</v>
      </c>
      <c r="O19" s="40"/>
      <c r="P19" s="40"/>
      <c r="Q19" s="40"/>
      <c r="R19" s="40"/>
      <c r="X19" s="145"/>
    </row>
    <row r="20" spans="1:32" ht="25" customHeight="1">
      <c r="A20" s="76" t="s">
        <v>29</v>
      </c>
      <c r="B20" s="32"/>
      <c r="C20" s="57" t="str">
        <f t="array" ref="C20">IF(OR(ISBLANK(F6),ISBLANK(G6),ISBLANK(H6),ISBLANK(I6),ISBLANK(J6)), "-",
MMULT(X_Left_Pallidum, B_Left_Pallidum))</f>
        <v>-</v>
      </c>
      <c r="D20" s="77" t="str">
        <f t="array" ref="D20">IF(OR(ISBLANK(F6),ISBLANK(G6),ISBLANK(H6),ISBLANK(I6),ISBLANK(J6)), "-",
C20-t_left_pallidum*SQRT(MSE_left_pallidum*(1+MMULT(MMULT(X_Left_Pallidum,M_Left_Pallidum),TRANSPOSE(X_Left_Pallidum)))))</f>
        <v>-</v>
      </c>
      <c r="E20" s="70" t="str">
        <f t="array" ref="E20">IF(OR(ISBLANK(F6),ISBLANK(G6),ISBLANK(H6),ISBLANK(I6),ISBLANK(J6)), "-",
C20+t_left_pallidum*SQRT(MSE_left_pallidum*(1+MMULT(MMULT(X_Left_Pallidum,M_Left_Pallidum),TRANSPOSE(X_Left_Pallidum)))))</f>
        <v>-</v>
      </c>
      <c r="F20" s="121" t="str">
        <f t="array" ref="F20">IF(OR(ISBLANK(F6),ISBLANK(G6),ISBLANK(H6),ISBLANK(I6),ISBLANK(J6),ISBLANK(B20)), "-",
(B20-C20)/ SQRT(MSE_left_pallidum*(1+MMULT(MMULT(X_Left_Pallidum,M_Left_Pallidum),TRANSPOSE(X_Left_Pallidum)))))</f>
        <v>-</v>
      </c>
      <c r="G20" s="71" t="str">
        <f t="array" ref="G20">IF(OR(ISBLANK(F6),ISBLANK(G6),ISBLANK(H6),ISBLANK(I6),ISBLANK(J6),ISBLANK(B20)), "-",
TDIST(ABS(F20), Matrix!C12-2, 1))</f>
        <v>-</v>
      </c>
      <c r="H20" s="122" t="str">
        <f t="array" ref="H20">IF(OR(ISBLANK(F$6),ISBLANK(G$6),ISBLANK(H$6),ISBLANK(I$6),ISBLANK(J$6),ISBLANK(B$11)), "-",
 INDEX(FDR,MATCH(A20,fdr_regions,0),0))</f>
        <v>-</v>
      </c>
      <c r="I20" s="63" t="str">
        <f t="array" ref="I20">IF(OR(ISBLANK(F6),ISBLANK(G6),ISBLANK(H6),ISBLANK(I6),ISBLANK(J6),ISBLANK(B20)), "-",
(B20-C20)/ SQRT(Matrix!D12))</f>
        <v>-</v>
      </c>
      <c r="J20" s="72" t="str">
        <f t="array" ref="J20">IF(OR(ISBLANK(F6),ISBLANK(G6),ISBLANK(H6),ISBLANK(I6),ISBLANK(J6),ISBLANK(B20)), "-",
IF(AND(ABS(I20) &gt;0, ABS(I20)&lt; 0.043), NT_NCP(0.975,Matrix!C12-1,I20*SQRT(Matrix!C12),100,100)/SQRT(Matrix!C12), NCP_T_NC(0.975,I20*SQRT(Matrix!C12),Matrix!C12-1)/SQRT(Matrix!C12)))</f>
        <v>-</v>
      </c>
      <c r="K20" s="73" t="str">
        <f t="array" ref="K20">IF(OR(ISBLANK(F6),ISBLANK(G6),ISBLANK(H6),ISBLANK(I6),ISBLANK(J6),ISBLANK(B20)), "-",
IF(AND(ABS(I20) &gt;0, ABS(I20)&lt; 0.043), NT_NCP(0.025,Matrix!C12-1,I20*SQRT(Matrix!C12),100,100)/SQRT(Matrix!C12), NCP_T_NC(0.025,I20*SQRT(Matrix!C12),Matrix!C12-1)/SQRT(Matrix!C12)))</f>
        <v>-</v>
      </c>
      <c r="L20" s="74" t="str">
        <f t="array" ref="L20">IF(OR(ISBLANK(F6),ISBLANK(G6),ISBLANK(H6),ISBLANK(I6),ISBLANK(J6),ISBLANK(B20)), "-",
IF(F20 &lt; 0, TDIST(ABS(F20), Matrix!C12-2, 1),1 - (TDIST(ABS(F20), Matrix!C12-2, 1))))</f>
        <v>-</v>
      </c>
      <c r="M20" s="65" t="str">
        <f t="array" ref="M20">IF(OR(ISBLANK(F6),ISBLANK(G6),ISBLANK(H6),ISBLANK(I6),ISBLANK(J6),ISBLANK(B20)), "-",
IF(F20&lt;0,
IF(AND(ABS(F20) &gt;0, ABS(F20)&lt; 0.043),
NORMSDIST(NT_NCP(0.975,Matrix!C12-1,F20*SQRT(Matrix!C12),100,100)/SQRT(Matrix!C12))*100,
NORMSDIST(NCP_T_NC(0.975,F20*SQRT(Matrix!C12),Matrix!C12-1)/SQRT(Matrix!C12))*100),
IF(AND(ABS(F20) &gt;0, ABS(F20)&lt; 0.043),
(NORMSDIST(NT_NCP(0.975,Matrix!C12-1,
F20*SQRT(Matrix!C12),100,100)/SQRT(Matrix!C12)))*100,
(NORMSDIST(NCP_T_NC(0.975,F20*SQRT(Matrix!C12),Matrix!C12-1)/SQRT(Matrix!C12)))*100)))</f>
        <v>-</v>
      </c>
      <c r="N20" s="66" t="str">
        <f t="array" ref="N20">IF(OR(ISBLANK(F6),ISBLANK(G6),ISBLANK(H6),ISBLANK(I6),ISBLANK(J6),ISBLANK(B20)), "-",
IF(F20&lt;0,
IF(AND(ABS(F20) &gt;0, ABS(F20)&lt; 0.043),
NORMSDIST(NT_NCP(0.025,Matrix!C12-1,F20*SQRT(Matrix!C12),100,100)/SQRT(Matrix!C12))*100,
NORMSDIST(NCP_T_NC(0.025,F20*SQRT(Matrix!C12),Matrix!C12-1)/SQRT(Matrix!C12))*100),
IF(AND(ABS(F20) &gt;0, ABS(F20)&lt; 0.043),
(NORMSDIST(NT_NCP(0.025,Matrix!C12-1,
F20*SQRT(Matrix!C12),100,100)/SQRT(Matrix!C12)))*100,
(NORMSDIST(NCP_T_NC(0.025,F20*SQRT(Matrix!C12),Matrix!C12-1)/SQRT(Matrix!C12)))*100)))</f>
        <v>-</v>
      </c>
      <c r="O20" s="40"/>
      <c r="P20" s="40"/>
      <c r="Q20" s="40"/>
      <c r="R20" s="40"/>
      <c r="X20" s="145"/>
    </row>
    <row r="21" spans="1:32" ht="25" customHeight="1">
      <c r="A21" s="76" t="s">
        <v>30</v>
      </c>
      <c r="B21" s="32"/>
      <c r="C21" s="57" t="str">
        <f t="array" ref="C21">IF(OR(ISBLANK(F6),ISBLANK(G6),ISBLANK(H6),ISBLANK(I6),ISBLANK(J6)), "-",
MMULT(X_Right_Pallidum, B_Right_Pallidum))</f>
        <v>-</v>
      </c>
      <c r="D21" s="77" t="str">
        <f t="array" ref="D21">IF(OR(ISBLANK(F6),ISBLANK(G6),ISBLANK(H6),ISBLANK(I6),ISBLANK(J6)), "-",
C21-t_right_pallidum*SQRT(MSE_right_pallidum*(1+MMULT(MMULT(X_Right_Pallidum,M_Right_Pallidum),TRANSPOSE(X_Right_Pallidum)))))</f>
        <v>-</v>
      </c>
      <c r="E21" s="70" t="str">
        <f t="array" ref="E21">IF(OR(ISBLANK(F6),ISBLANK(G6),ISBLANK(H6),ISBLANK(I6),ISBLANK(J6)), "-",
C21+t_right_pallidum*SQRT(MSE_right_pallidum*(1+MMULT(MMULT(X_Right_Pallidum,M_Right_Pallidum),TRANSPOSE(X_Right_Pallidum)))))</f>
        <v>-</v>
      </c>
      <c r="F21" s="121" t="str">
        <f t="array" ref="F21">IF(OR(ISBLANK(F6),ISBLANK(G6),ISBLANK(H6),ISBLANK(I6),ISBLANK(J6),ISBLANK(B21)), "-",
(B21-C21)/ SQRT(MSE_right_pallidum*(1+MMULT(MMULT(X_Right_Pallidum,M_Right_Pallidum),TRANSPOSE(X_Right_Pallidum)))))</f>
        <v>-</v>
      </c>
      <c r="G21" s="71" t="str">
        <f t="array" ref="G21">IF(OR(ISBLANK(F6),ISBLANK(G6),ISBLANK(H6),ISBLANK(I6),ISBLANK(J6),ISBLANK(B21)), "-",
TDIST(ABS(F21), Matrix!C13-2, 1))</f>
        <v>-</v>
      </c>
      <c r="H21" s="122" t="str">
        <f t="array" ref="H21">IF(OR(ISBLANK(F$6),ISBLANK(G$6),ISBLANK(H$6),ISBLANK(I$6),ISBLANK(J$6),ISBLANK(B$11)), "-",
 INDEX(FDR,MATCH(A21,fdr_regions,0),0))</f>
        <v>-</v>
      </c>
      <c r="I21" s="63" t="str">
        <f t="array" ref="I21">IF(OR(ISBLANK(F6),ISBLANK(G6),ISBLANK(H6),ISBLANK(I6),ISBLANK(J6),ISBLANK(B21)), "-",
(B21-C21)/ SQRT(Matrix!D13))</f>
        <v>-</v>
      </c>
      <c r="J21" s="72" t="str">
        <f t="array" ref="J21">IF(OR(ISBLANK(F6),ISBLANK(G6),ISBLANK(H6),ISBLANK(I6),ISBLANK(J6),ISBLANK(B21)), "-",
IF(AND(ABS(I21) &gt;0, ABS(I21)&lt; 0.043), NT_NCP(0.975,Matrix!C13-1,I21*SQRT(Matrix!C13),100,100)/SQRT(Matrix!C13), NCP_T_NC(0.975,I21*SQRT(Matrix!C13),Matrix!C13-1)/SQRT(Matrix!C13)))</f>
        <v>-</v>
      </c>
      <c r="K21" s="73" t="str">
        <f t="array" ref="K21">IF(OR(ISBLANK(F6),ISBLANK(G6),ISBLANK(H6),ISBLANK(I6),ISBLANK(J6),ISBLANK(B21)), "-",
IF(AND(ABS(I21) &gt;0, ABS(I21)&lt; 0.043), NT_NCP(0.025,Matrix!C13-1,I21*SQRT(Matrix!C13),100,100)/SQRT(Matrix!C13), NCP_T_NC(0.025,I21*SQRT(Matrix!C13),Matrix!C13-1)/SQRT(Matrix!C13)))</f>
        <v>-</v>
      </c>
      <c r="L21" s="74" t="str">
        <f t="array" ref="L21">IF(OR(ISBLANK(F6),ISBLANK(G6),ISBLANK(H6),ISBLANK(I6),ISBLANK(J6),ISBLANK(B21)), "-",
IF(F21 &lt; 0, TDIST(ABS(F21), Matrix!C13-2, 1),1 - (TDIST(ABS(F21), Matrix!C13-2, 1))))</f>
        <v>-</v>
      </c>
      <c r="M21" s="65" t="str">
        <f t="array" ref="M21">IF(OR(ISBLANK(F6),ISBLANK(G6),ISBLANK(H6),ISBLANK(I6),ISBLANK(J6),ISBLANK(B21)), "-",
IF(F21&lt;0,
IF(AND(ABS(F21) &gt;0, ABS(F21)&lt; 0.043),
NORMSDIST(NT_NCP(0.975,Matrix!C13-1,F21*SQRT(Matrix!C13),100,100)/SQRT(Matrix!C13))*100,
NORMSDIST(NCP_T_NC(0.975,F21*SQRT(Matrix!C13),Matrix!C13-1)/SQRT(Matrix!C13))*100),
IF(AND(ABS(F21) &gt;0, ABS(F21)&lt; 0.043),
(NORMSDIST(NT_NCP(0.975,Matrix!C13-1,
F21*SQRT(Matrix!C13),100,100)/SQRT(Matrix!C13)))*100,
(NORMSDIST(NCP_T_NC(0.975,F21*SQRT(Matrix!C13),Matrix!C13-1)/SQRT(Matrix!C13)))*100)))</f>
        <v>-</v>
      </c>
      <c r="N21" s="66" t="str">
        <f t="array" ref="N21">IF(OR(ISBLANK(F6),ISBLANK(G6),ISBLANK(H6),ISBLANK(I6),ISBLANK(J6),ISBLANK(B21)), "-",
IF(F21&lt;0,
IF(AND(ABS(F21) &gt;0, ABS(F21)&lt; 0.043),
NORMSDIST(NT_NCP(0.025,Matrix!C13-1,F21*SQRT(Matrix!C13),100,100)/SQRT(Matrix!C13))*100,
NORMSDIST(NCP_T_NC(0.025,F21*SQRT(Matrix!C13),Matrix!C13-1)/SQRT(Matrix!C13))*100),
IF(AND(ABS(F21) &gt;0, ABS(F21)&lt; 0.043),
(NORMSDIST(NT_NCP(0.025,Matrix!C13-1,
F21*SQRT(Matrix!C13),100,100)/SQRT(Matrix!C13)))*100,
(NORMSDIST(NCP_T_NC(0.025,F21*SQRT(Matrix!C13),Matrix!C13-1)/SQRT(Matrix!C13)))*100)))</f>
        <v>-</v>
      </c>
      <c r="O21" s="40"/>
      <c r="P21" s="40"/>
      <c r="Q21" s="40"/>
      <c r="R21" s="40"/>
      <c r="X21" s="145"/>
    </row>
    <row r="22" spans="1:32" ht="25" customHeight="1">
      <c r="A22" s="76" t="s">
        <v>13</v>
      </c>
      <c r="B22" s="32"/>
      <c r="C22" s="57" t="str">
        <f t="array" ref="C22">IF(OR(ISBLANK(F6),ISBLANK(G6),ISBLANK(H6),ISBLANK(I6),ISBLANK(J6)), "-",
MMULT(X_Left_Putamen, B_Left_Putamen))</f>
        <v>-</v>
      </c>
      <c r="D22" s="77" t="str">
        <f t="array" ref="D22">IF(OR(ISBLANK(F6),ISBLANK(G6),ISBLANK(H6),ISBLANK(I6),ISBLANK(J6)), "-",
C22-t_left_putamen*SQRT(MSE_left_putamen*(1+MMULT(MMULT(X_Left_Putamen,M_Left_Putamen),TRANSPOSE(X_Left_Putamen)))))</f>
        <v>-</v>
      </c>
      <c r="E22" s="70" t="str">
        <f t="array" ref="E22">IF(OR(ISBLANK(F6),ISBLANK(G6),ISBLANK(H6),ISBLANK(I6),ISBLANK(J6)), "-",
C22+t_left_putamen*SQRT(MSE_left_putamen*(1+MMULT(MMULT(X_Left_Putamen,M_Left_Putamen),TRANSPOSE(X_Left_Putamen)))))</f>
        <v>-</v>
      </c>
      <c r="F22" s="121" t="str">
        <f t="array" ref="F22">IF(OR(ISBLANK(F6),ISBLANK(G6),ISBLANK(H6),ISBLANK(I6),ISBLANK(J6),ISBLANK(B22)), "-",
(B22-C22)/ SQRT(MSE_left_putamen*(1+MMULT(MMULT(X_Left_Putamen,M_Left_Putamen),TRANSPOSE(X_Left_Putamen)))))</f>
        <v>-</v>
      </c>
      <c r="G22" s="71" t="str">
        <f t="array" ref="G22">IF(OR(ISBLANK(F6),ISBLANK(G6),ISBLANK(H6),ISBLANK(I6),ISBLANK(J6),ISBLANK(B22)), "-",
TDIST(ABS(F22), Matrix!C14-2, 1))</f>
        <v>-</v>
      </c>
      <c r="H22" s="122" t="str">
        <f t="array" ref="H22">IF(OR(ISBLANK(F$6),ISBLANK(G$6),ISBLANK(H$6),ISBLANK(I$6),ISBLANK(J$6),ISBLANK(B$11)), "-",
 INDEX(FDR,MATCH(A22,fdr_regions,0),0))</f>
        <v>-</v>
      </c>
      <c r="I22" s="63" t="str">
        <f t="array" ref="I22">IF(OR(ISBLANK(F6),ISBLANK(G6),ISBLANK(H6),ISBLANK(I6),ISBLANK(J6),ISBLANK(B22)), "-",
(B22-C22)/ SQRT(Matrix!D14))</f>
        <v>-</v>
      </c>
      <c r="J22" s="72" t="str">
        <f t="array" ref="J22">IF(OR(ISBLANK(F6),ISBLANK(G6),ISBLANK(H6),ISBLANK(I6),ISBLANK(J6),ISBLANK(B22)), "-",
IF(AND(ABS(I22) &gt;0, ABS(I22)&lt; 0.043), NT_NCP(0.975,Matrix!C14-1,I22*SQRT(Matrix!C14),100,100)/SQRT(Matrix!C14), NCP_T_NC(0.975,I22*SQRT(Matrix!C14),Matrix!C14-1)/SQRT(Matrix!C14)))</f>
        <v>-</v>
      </c>
      <c r="K22" s="73" t="str">
        <f t="array" ref="K22">IF(OR(ISBLANK(F6),ISBLANK(G6),ISBLANK(H6),ISBLANK(I6),ISBLANK(J6),ISBLANK(B22)), "-",
IF(AND(ABS(I22) &gt;0, ABS(I22)&lt; 0.043), NT_NCP(0.025,Matrix!C14-1,I22*SQRT(Matrix!C14),100,100)/SQRT(Matrix!C14), NCP_T_NC(0.025,I22*SQRT(Matrix!C14),Matrix!C14-1)/SQRT(Matrix!C14)))</f>
        <v>-</v>
      </c>
      <c r="L22" s="74" t="str">
        <f t="array" ref="L22">IF(OR(ISBLANK(F6),ISBLANK(G6),ISBLANK(H6),ISBLANK(I6),ISBLANK(J6),ISBLANK(B22)), "-",
IF(F22 &lt; 0, TDIST(ABS(F22), Matrix!C14-2, 1),1 - (TDIST(ABS(F22), Matrix!C14-2, 1))))</f>
        <v>-</v>
      </c>
      <c r="M22" s="65" t="str">
        <f t="array" ref="M22">IF(OR(ISBLANK(F6),ISBLANK(G6),ISBLANK(H6),ISBLANK(I6),ISBLANK(J6),ISBLANK(B22)), "-",
IF(F22&lt;0,
IF(AND(ABS(F22) &gt;0, ABS(F22)&lt; 0.043),
NORMSDIST(NT_NCP(0.975,Matrix!C14-1,F22*SQRT(Matrix!C14),100,100)/SQRT(Matrix!C14))*100,
NORMSDIST(NCP_T_NC(0.975,F22*SQRT(Matrix!C14),Matrix!C14-1)/SQRT(Matrix!C14))*100),
IF(AND(ABS(F22) &gt;0, ABS(F22)&lt; 0.043),
(NORMSDIST(NT_NCP(0.975,Matrix!C14-1,
F22*SQRT(Matrix!C14),100,100)/SQRT(Matrix!C14)))*100,
(NORMSDIST(NCP_T_NC(0.975,F22*SQRT(Matrix!C14),Matrix!C14-1)/SQRT(Matrix!C14)))*100)))</f>
        <v>-</v>
      </c>
      <c r="N22" s="66" t="str">
        <f t="array" ref="N22">IF(OR(ISBLANK(F6),ISBLANK(G6),ISBLANK(H6),ISBLANK(I6),ISBLANK(J6),ISBLANK(B22)), "-",
IF(F22&lt;0,
IF(AND(ABS(F22) &gt;0, ABS(F22)&lt; 0.043),
NORMSDIST(NT_NCP(0.025,Matrix!C14-1,F22*SQRT(Matrix!C14),100,100)/SQRT(Matrix!C14))*100,
NORMSDIST(NCP_T_NC(0.025,F22*SQRT(Matrix!C14),Matrix!C14-1)/SQRT(Matrix!C14))*100),
IF(AND(ABS(F22) &gt;0, ABS(F22)&lt; 0.043),
(NORMSDIST(NT_NCP(0.025,Matrix!C14-1,
F22*SQRT(Matrix!C14),100,100)/SQRT(Matrix!C14)))*100,
(NORMSDIST(NCP_T_NC(0.025,F22*SQRT(Matrix!C14),Matrix!C14-1)/SQRT(Matrix!C14)))*100)))</f>
        <v>-</v>
      </c>
      <c r="O22" s="40"/>
      <c r="P22" s="40"/>
      <c r="Q22" s="40"/>
      <c r="R22" s="40"/>
      <c r="X22" s="145"/>
    </row>
    <row r="23" spans="1:32" ht="25" customHeight="1">
      <c r="A23" s="76" t="s">
        <v>14</v>
      </c>
      <c r="B23" s="32"/>
      <c r="C23" s="57" t="str">
        <f t="array" ref="C23">IF(OR(ISBLANK(F6),ISBLANK(G6),ISBLANK(H6),ISBLANK(I6),ISBLANK(J6)), "-",
MMULT(X_Right_Putamen, B_Right_Putamen))</f>
        <v>-</v>
      </c>
      <c r="D23" s="77" t="str">
        <f t="array" ref="D23">IF(OR(ISBLANK(F6),ISBLANK(G6),ISBLANK(H6),ISBLANK(I6),ISBLANK(J6)), "-",
C23-t_right_putamen*SQRT(MSE_right_putamen*(1+MMULT(MMULT(X_Right_Putamen,M_Right_Putamen),TRANSPOSE(X_Right_Putamen)))))</f>
        <v>-</v>
      </c>
      <c r="E23" s="70" t="str">
        <f t="array" ref="E23">IF(OR(ISBLANK(F6),ISBLANK(G6),ISBLANK(H6),ISBLANK(I6),ISBLANK(J6)), "-",
C23+t_right_putamen*SQRT(MSE_right_putamen*(1+MMULT(MMULT(X_Right_Putamen,M_Right_Putamen),TRANSPOSE(X_Right_Putamen)))))</f>
        <v>-</v>
      </c>
      <c r="F23" s="121" t="str">
        <f t="array" ref="F23">IF(OR(ISBLANK(F6),ISBLANK(G6),ISBLANK(H6),ISBLANK(I6),ISBLANK(J6),ISBLANK(B23)), "-",
(B23-C23)/ SQRT(MSE_right_putamen*(1+MMULT(MMULT(X_Right_Putamen,M_Right_Putamen),TRANSPOSE(X_Right_Putamen)))))</f>
        <v>-</v>
      </c>
      <c r="G23" s="71" t="str">
        <f t="array" ref="G23">IF(OR(ISBLANK(F6),ISBLANK(G6),ISBLANK(H6),ISBLANK(I6),ISBLANK(J6),ISBLANK(B23)), "-",
TDIST(ABS(F23), Matrix!C15-2, 1))</f>
        <v>-</v>
      </c>
      <c r="H23" s="122" t="str">
        <f t="array" ref="H23">IF(OR(ISBLANK(F$6),ISBLANK(G$6),ISBLANK(H$6),ISBLANK(I$6),ISBLANK(J$6),ISBLANK(B$11)), "-",
 INDEX(FDR,MATCH(A23,fdr_regions,0),0))</f>
        <v>-</v>
      </c>
      <c r="I23" s="63" t="str">
        <f t="array" ref="I23">IF(OR(ISBLANK(F6),ISBLANK(G6),ISBLANK(H6),ISBLANK(I6),ISBLANK(J6),ISBLANK(B23)), "-",
(B23-C23)/ SQRT(Matrix!D15))</f>
        <v>-</v>
      </c>
      <c r="J23" s="72" t="str">
        <f t="array" ref="J23">IF(OR(ISBLANK(F6),ISBLANK(G6),ISBLANK(H6),ISBLANK(I6),ISBLANK(J6),ISBLANK(B23)), "-",
IF(AND(ABS(I23) &gt;0, ABS(I23)&lt; 0.043), NT_NCP(0.975,Matrix!C15-1,I23*SQRT(Matrix!C15),100,100)/SQRT(Matrix!C15), NCP_T_NC(0.975,I23*SQRT(Matrix!C15),Matrix!C15-1)/SQRT(Matrix!C15)))</f>
        <v>-</v>
      </c>
      <c r="K23" s="73" t="str">
        <f t="array" ref="K23">IF(OR(ISBLANK(F6),ISBLANK(G6),ISBLANK(H6),ISBLANK(I6),ISBLANK(J6),ISBLANK(B23)), "-",
IF(AND(ABS(I23) &gt;0, ABS(I23)&lt; 0.043), NT_NCP(0.025,Matrix!C15-1,I23*SQRT(Matrix!C15),100,100)/SQRT(Matrix!C15), NCP_T_NC(0.025,I23*SQRT(Matrix!C15),Matrix!C15-1)/SQRT(Matrix!C15)))</f>
        <v>-</v>
      </c>
      <c r="L23" s="74" t="str">
        <f t="array" ref="L23">IF(OR(ISBLANK(F6),ISBLANK(G6),ISBLANK(H6),ISBLANK(I6),ISBLANK(J6),ISBLANK(B23)), "-",
IF(F23 &lt; 0, TDIST(ABS(F23), Matrix!C15-2, 1),1 - (TDIST(ABS(F23), Matrix!C15-2, 1))))</f>
        <v>-</v>
      </c>
      <c r="M23" s="65" t="str">
        <f t="array" ref="M23">IF(OR(ISBLANK(F6),ISBLANK(G6),ISBLANK(H6),ISBLANK(I6),ISBLANK(J6),ISBLANK(B23)), "-",
IF(F23&lt;0,
IF(AND(ABS(F23) &gt;0, ABS(F23)&lt; 0.043),
NORMSDIST(NT_NCP(0.975,Matrix!C15-1,F23*SQRT(Matrix!C15),100,100)/SQRT(Matrix!C15))*100,
NORMSDIST(NCP_T_NC(0.975,F23*SQRT(Matrix!C15),Matrix!C15-1)/SQRT(Matrix!C15))*100),
IF(AND(ABS(F23) &gt;0, ABS(F23)&lt; 0.043),
(NORMSDIST(NT_NCP(0.975,Matrix!C15-1,
F23*SQRT(Matrix!C15),100,100)/SQRT(Matrix!C15)))*100,
(NORMSDIST(NCP_T_NC(0.975,F23*SQRT(Matrix!C15),Matrix!C15-1)/SQRT(Matrix!C15)))*100)))</f>
        <v>-</v>
      </c>
      <c r="N23" s="66" t="str">
        <f t="array" ref="N23">IF(OR(ISBLANK(F6),ISBLANK(G6),ISBLANK(H6),ISBLANK(I6),ISBLANK(J6),ISBLANK(B23)), "-",
IF(F23&lt;0,
IF(AND(ABS(F23) &gt;0, ABS(F23)&lt; 0.043),
NORMSDIST(NT_NCP(0.025,Matrix!C15-1,F23*SQRT(Matrix!C15),100,100)/SQRT(Matrix!C15))*100,
NORMSDIST(NCP_T_NC(0.025,F23*SQRT(Matrix!C15),Matrix!C15-1)/SQRT(Matrix!C15))*100),
IF(AND(ABS(F23) &gt;0, ABS(F23)&lt; 0.043),
(NORMSDIST(NT_NCP(0.025,Matrix!C15-1,
F23*SQRT(Matrix!C15),100,100)/SQRT(Matrix!C15)))*100,
(NORMSDIST(NCP_T_NC(0.025,F23*SQRT(Matrix!C15),Matrix!C15-1)/SQRT(Matrix!C15)))*100)))</f>
        <v>-</v>
      </c>
      <c r="O23" s="40"/>
      <c r="P23" s="40"/>
      <c r="Q23" s="40"/>
      <c r="R23" s="40"/>
      <c r="X23" s="145"/>
      <c r="AE23" s="81"/>
    </row>
    <row r="24" spans="1:32" ht="25" customHeight="1">
      <c r="A24" s="76" t="s">
        <v>15</v>
      </c>
      <c r="B24" s="32"/>
      <c r="C24" s="57" t="str">
        <f t="array" ref="C24">IF(OR(ISBLANK(F6),ISBLANK(G6),ISBLANK(H6),ISBLANK(I6),ISBLANK(J6)), "-",
MMULT(X_Left_Thalamus_Proper, B_Left_Thalamus_Proper))</f>
        <v>-</v>
      </c>
      <c r="D24" s="77" t="str">
        <f t="array" ref="D24">IF(OR(ISBLANK(F6),ISBLANK(G6),ISBLANK(H6),ISBLANK(I6),ISBLANK(J6)), "-",
C24-t_left_thalamus_proper*SQRT(MSE_left_thalamus_proper*(1+MMULT(MMULT(X_Left_Thalamus_Proper,M_Left_Thalamus_Proper),TRANSPOSE(X_Left_Thalamus_Proper)))))</f>
        <v>-</v>
      </c>
      <c r="E24" s="70" t="str">
        <f t="array" ref="E24">IF(OR(ISBLANK(F6),ISBLANK(G6),ISBLANK(H6),ISBLANK(I6),ISBLANK(J6)), "-",
C24+t_left_thalamus_proper*SQRT(MSE_left_thalamus_proper*(1+MMULT(MMULT(X_Left_Thalamus_Proper,M_Left_Thalamus_Proper),TRANSPOSE(X_Left_Thalamus_Proper)))))</f>
        <v>-</v>
      </c>
      <c r="F24" s="121" t="str">
        <f t="array" ref="F24">IF(OR(ISBLANK(F6),ISBLANK(G6),ISBLANK(H6),ISBLANK(I6),ISBLANK(J6),ISBLANK(B24)), "-",
(B24-C24)/ SQRT(MSE_left_thalamus_proper*(1+MMULT(MMULT(X_Left_Thalamus_Proper,M_Left_Thalamus_Proper),TRANSPOSE(X_Left_Thalamus_Proper)))))</f>
        <v>-</v>
      </c>
      <c r="G24" s="71" t="str">
        <f t="array" ref="G24">IF(OR(ISBLANK(F6),ISBLANK(G6),ISBLANK(H6),ISBLANK(I6),ISBLANK(J6),ISBLANK(B24)), "-",
TDIST(ABS(F24), Matrix!C16-2, 1))</f>
        <v>-</v>
      </c>
      <c r="H24" s="122" t="str">
        <f t="array" ref="H24">IF(OR(ISBLANK(F$6),ISBLANK(G$6),ISBLANK(H$6),ISBLANK(I$6),ISBLANK(J$6),ISBLANK(B$11)), "-",
 INDEX(FDR,MATCH(A24,fdr_regions,0),0))</f>
        <v>-</v>
      </c>
      <c r="I24" s="63" t="str">
        <f t="array" ref="I24">IF(OR(ISBLANK(F6),ISBLANK(G6),ISBLANK(H6),ISBLANK(I6),ISBLANK(J6),ISBLANK(B24)), "-",
(B24-C24)/ SQRT(Matrix!D16))</f>
        <v>-</v>
      </c>
      <c r="J24" s="72" t="str">
        <f t="array" ref="J24">IF(OR(ISBLANK(F6),ISBLANK(G6),ISBLANK(H6),ISBLANK(I6),ISBLANK(J6),ISBLANK(B24)), "-",
IF(AND(ABS(I24) &gt;0, ABS(I24)&lt; 0.043), NT_NCP(0.975,Matrix!C16-1,I24*SQRT(Matrix!C16),100,100)/SQRT(Matrix!C16), NCP_T_NC(0.975,I24*SQRT(Matrix!C16),Matrix!C16-1)/SQRT(Matrix!C16)))</f>
        <v>-</v>
      </c>
      <c r="K24" s="73" t="str">
        <f t="array" ref="K24">IF(OR(ISBLANK(F6),ISBLANK(G6),ISBLANK(H6),ISBLANK(I6),ISBLANK(J6),ISBLANK(B24)), "-",
IF(AND(ABS(I24) &gt;0, ABS(I24)&lt; 0.043), NT_NCP(0.025,Matrix!C16-1,I24*SQRT(Matrix!C16),100,100)/SQRT(Matrix!C16), NCP_T_NC(0.025,I24*SQRT(Matrix!C16),Matrix!C16-1)/SQRT(Matrix!C16)))</f>
        <v>-</v>
      </c>
      <c r="L24" s="74" t="str">
        <f t="array" ref="L24">IF(OR(ISBLANK(F6),ISBLANK(G6),ISBLANK(H6),ISBLANK(I6),ISBLANK(J6),ISBLANK(B24)), "-",
IF(F24 &lt; 0, TDIST(ABS(F24), Matrix!C16-2, 1),1 - (TDIST(ABS(F24), Matrix!C16-2, 1))))</f>
        <v>-</v>
      </c>
      <c r="M24" s="65" t="str">
        <f t="array" ref="M24">IF(OR(ISBLANK(F6),ISBLANK(G6),ISBLANK(H6),ISBLANK(I6),ISBLANK(J6),ISBLANK(B24)), "-",
IF(F24&lt;0,
IF(AND(ABS(F24) &gt;0, ABS(F24)&lt; 0.043),
NORMSDIST(NT_NCP(0.975,Matrix!C16-1,F24*SQRT(Matrix!C16),100,100)/SQRT(Matrix!C16))*100,
NORMSDIST(NCP_T_NC(0.975,F24*SQRT(Matrix!C16),Matrix!C16-1)/SQRT(Matrix!C16))*100),
IF(AND(ABS(F24) &gt;0, ABS(F24)&lt; 0.043),
(NORMSDIST(NT_NCP(0.975,Matrix!C16-1,
F24*SQRT(Matrix!C16),100,100)/SQRT(Matrix!C16)))*100,
(NORMSDIST(NCP_T_NC(0.975,F24*SQRT(Matrix!C16),Matrix!C16-1)/SQRT(Matrix!C16)))*100)))</f>
        <v>-</v>
      </c>
      <c r="N24" s="66" t="str">
        <f t="array" ref="N24">IF(OR(ISBLANK(F6),ISBLANK(G6),ISBLANK(H6),ISBLANK(I6),ISBLANK(J6),ISBLANK(B24)), "-",
IF(F24&lt;0,
IF(AND(ABS(F24) &gt;0, ABS(F24)&lt; 0.043),
NORMSDIST(NT_NCP(0.025,Matrix!C16-1,F24*SQRT(Matrix!C16),100,100)/SQRT(Matrix!C16))*100,
NORMSDIST(NCP_T_NC(0.025,F24*SQRT(Matrix!C16),Matrix!C16-1)/SQRT(Matrix!C16))*100),
IF(AND(ABS(F24) &gt;0, ABS(F24)&lt; 0.043),
(NORMSDIST(NT_NCP(0.025,Matrix!C16-1,
F24*SQRT(Matrix!C16),100,100)/SQRT(Matrix!C16)))*100,
(NORMSDIST(NCP_T_NC(0.025,F24*SQRT(Matrix!C16),Matrix!C16-1)/SQRT(Matrix!C16)))*100)))</f>
        <v>-</v>
      </c>
      <c r="O24" s="40"/>
      <c r="P24" s="40"/>
      <c r="Q24" s="40"/>
      <c r="R24" s="40"/>
      <c r="X24" s="145"/>
      <c r="AE24" s="82"/>
      <c r="AF24" s="82"/>
    </row>
    <row r="25" spans="1:32" ht="25" customHeight="1">
      <c r="A25" s="76" t="s">
        <v>16</v>
      </c>
      <c r="B25" s="32"/>
      <c r="C25" s="57" t="str">
        <f t="array" ref="C25">IF(OR(ISBLANK(F6),ISBLANK(G6),ISBLANK(H6),ISBLANK(I6),ISBLANK(J6)), "-",
MMULT(X_Right_Thalamus_Proper, B_Right_Thalamus_Proper))</f>
        <v>-</v>
      </c>
      <c r="D25" s="77" t="str">
        <f t="array" ref="D25">IF(OR(ISBLANK(F6),ISBLANK(G6),ISBLANK(H6),ISBLANK(I6),ISBLANK(J6)), "-",
C25-t_right_thalamus_proper*SQRT(MSE_right_thalamus_proper*(1+MMULT(MMULT(X_Right_Thalamus_Proper,M_Right_Thalamus_Proper),TRANSPOSE(X_Right_Thalamus_Proper)))))</f>
        <v>-</v>
      </c>
      <c r="E25" s="70" t="str">
        <f t="array" ref="E25">IF(OR(ISBLANK(F6),ISBLANK(G6),ISBLANK(H6),ISBLANK(I6),ISBLANK(J6)), "-",
C25+t_right_thalamus_proper*SQRT(MSE_right_thalamus_proper*(1+MMULT(MMULT(X_Right_Thalamus_Proper,M_Right_Thalamus_Proper),TRANSPOSE(X_Right_Thalamus_Proper)))))</f>
        <v>-</v>
      </c>
      <c r="F25" s="121" t="str">
        <f t="array" ref="F25">IF(OR(ISBLANK(F6),ISBLANK(G6),ISBLANK(H6),ISBLANK(I6),ISBLANK(J6),ISBLANK(B25)), "-",
(B25-C25)/ SQRT(MSE_right_thalamus_proper*(1+MMULT(MMULT(X_Right_Thalamus_Proper,M_Right_Thalamus_Proper),TRANSPOSE(X_Right_Thalamus_Proper)))))</f>
        <v>-</v>
      </c>
      <c r="G25" s="71" t="str">
        <f t="array" ref="G25">IF(OR(ISBLANK(F6),ISBLANK(G6),ISBLANK(H6),ISBLANK(I6),ISBLANK(J6),ISBLANK(B25)), "-",
TDIST(ABS(F25), Matrix!C17-2, 1))</f>
        <v>-</v>
      </c>
      <c r="H25" s="122" t="str">
        <f t="array" ref="H25">IF(OR(ISBLANK(F$6),ISBLANK(G$6),ISBLANK(H$6),ISBLANK(I$6),ISBLANK(J$6),ISBLANK(B$11)), "-",
 INDEX(FDR,MATCH(A25,fdr_regions,0),0))</f>
        <v>-</v>
      </c>
      <c r="I25" s="63" t="str">
        <f t="array" ref="I25">IF(OR(ISBLANK(F6),ISBLANK(G6),ISBLANK(H6),ISBLANK(I6),ISBLANK(J6),ISBLANK(B25)), "-",
(B25-C25)/ SQRT(Matrix!D17))</f>
        <v>-</v>
      </c>
      <c r="J25" s="72" t="str">
        <f t="array" ref="J25">IF(OR(ISBLANK(F6),ISBLANK(G6),ISBLANK(H6),ISBLANK(I6),ISBLANK(J6),ISBLANK(B25)), "-",
IF(AND(ABS(I25) &gt;0, ABS(I25)&lt; 0.043), NT_NCP(0.975,Matrix!C17-1,I25*SQRT(Matrix!C17),100,100)/SQRT(Matrix!C17), NCP_T_NC(0.975,I25*SQRT(Matrix!C17),Matrix!C17-1)/SQRT(Matrix!C17)))</f>
        <v>-</v>
      </c>
      <c r="K25" s="73" t="str">
        <f t="array" ref="K25">IF(OR(ISBLANK(F6),ISBLANK(G6),ISBLANK(H6),ISBLANK(I6),ISBLANK(J6),ISBLANK(B25)), "-",
IF(AND(ABS(I25) &gt;0, ABS(I25)&lt; 0.043), NT_NCP(0.025,Matrix!C17-1,I25*SQRT(Matrix!C17),100,100)/SQRT(Matrix!C17), NCP_T_NC(0.025,I25*SQRT(Matrix!C17),Matrix!C17-1)/SQRT(Matrix!C17)))</f>
        <v>-</v>
      </c>
      <c r="L25" s="74" t="str">
        <f t="array" ref="L25">IF(OR(ISBLANK(F6),ISBLANK(G6),ISBLANK(H6),ISBLANK(I6),ISBLANK(J6),ISBLANK(B25)), "-",
IF(F25 &lt; 0, TDIST(ABS(F25), Matrix!C17-2, 1),1 - (TDIST(ABS(F25), Matrix!C17-2, 1))))</f>
        <v>-</v>
      </c>
      <c r="M25" s="65" t="str">
        <f t="array" ref="M25">IF(OR(ISBLANK(F6),ISBLANK(G6),ISBLANK(H6),ISBLANK(I6),ISBLANK(J6),ISBLANK(B25)), "-",
IF(F25&lt;0,
IF(AND(ABS(F25) &gt;0, ABS(F25)&lt; 0.043),
NORMSDIST(NT_NCP(0.975,Matrix!C17-1,F25*SQRT(Matrix!C17),100,100)/SQRT(Matrix!C17))*100,
NORMSDIST(NCP_T_NC(0.975,F25*SQRT(Matrix!C17),Matrix!C17-1)/SQRT(Matrix!C17))*100),
IF(AND(ABS(F25) &gt;0, ABS(F25)&lt; 0.043),
(NORMSDIST(NT_NCP(0.975,Matrix!C17-1,
F25*SQRT(Matrix!C17),100,100)/SQRT(Matrix!C17)))*100,
(NORMSDIST(NCP_T_NC(0.975,F25*SQRT(Matrix!C17),Matrix!C17-1)/SQRT(Matrix!C17)))*100)))</f>
        <v>-</v>
      </c>
      <c r="N25" s="66" t="str">
        <f t="array" ref="N25">IF(OR(ISBLANK(F6),ISBLANK(G6),ISBLANK(H6),ISBLANK(I6),ISBLANK(J6),ISBLANK(B25)), "-",
IF(F25&lt;0,
IF(AND(ABS(F25) &gt;0, ABS(F25)&lt; 0.043),
NORMSDIST(NT_NCP(0.025,Matrix!C17-1,F25*SQRT(Matrix!C17),100,100)/SQRT(Matrix!C17))*100,
NORMSDIST(NCP_T_NC(0.025,F25*SQRT(Matrix!C17),Matrix!C17-1)/SQRT(Matrix!C17))*100),
IF(AND(ABS(F25) &gt;0, ABS(F25)&lt; 0.043),
(NORMSDIST(NT_NCP(0.025,Matrix!C17-1,
F25*SQRT(Matrix!C17),100,100)/SQRT(Matrix!C17)))*100,
(NORMSDIST(NCP_T_NC(0.025,F25*SQRT(Matrix!C17),Matrix!C17-1)/SQRT(Matrix!C17)))*100)))</f>
        <v>-</v>
      </c>
      <c r="O25" s="40"/>
      <c r="P25" s="40"/>
      <c r="Q25" s="40"/>
      <c r="R25" s="40"/>
      <c r="X25" s="145"/>
      <c r="AE25" s="82"/>
      <c r="AF25" s="82"/>
    </row>
    <row r="26" spans="1:32" ht="25" customHeight="1">
      <c r="A26" s="76" t="s">
        <v>17</v>
      </c>
      <c r="B26" s="32"/>
      <c r="C26" s="57" t="str">
        <f t="array" ref="C26">IF(OR(ISBLANK(F6),ISBLANK(G6),ISBLANK(H6),ISBLANK(I6),ISBLANK(J6)), "-",
MMULT(X_Left_VentralDC, B_Left_VentralDC))</f>
        <v>-</v>
      </c>
      <c r="D26" s="77" t="str">
        <f t="array" ref="D26">IF(OR(ISBLANK(F6),ISBLANK(G6),ISBLANK(H6),ISBLANK(I6),ISBLANK(J6)), "-",
C26-t_left_ventraldc*SQRT(MSE_left_ventraldc*(1+MMULT(MMULT(X_Left_VentralDC,M_Left_VentralDC),TRANSPOSE(X_Left_VentralDC)))))</f>
        <v>-</v>
      </c>
      <c r="E26" s="70" t="str">
        <f t="array" ref="E26">IF(OR(ISBLANK(F6),ISBLANK(G6),ISBLANK(H6),ISBLANK(I6),ISBLANK(J6)), "-",
C26+t_left_ventraldc*SQRT(MSE_left_ventraldc*(1+MMULT(MMULT(X_Left_VentralDC,M_Left_VentralDC),TRANSPOSE(X_Left_VentralDC)))))</f>
        <v>-</v>
      </c>
      <c r="F26" s="121" t="str">
        <f t="array" ref="F26">IF(OR(ISBLANK(F6),ISBLANK(G6),ISBLANK(H6),ISBLANK(I6),ISBLANK(J6),ISBLANK(B26)), "-",
(B26-C26)/ SQRT(MSE_left_ventraldc*(1+MMULT(MMULT(X_Left_VentralDC,M_Left_VentralDC),TRANSPOSE(X_Left_VentralDC)))))</f>
        <v>-</v>
      </c>
      <c r="G26" s="71" t="str">
        <f t="array" ref="G26">IF(OR(ISBLANK(F6),ISBLANK(G6),ISBLANK(H6),ISBLANK(I6),ISBLANK(J6),ISBLANK(B26)), "-",
TDIST(ABS(F26), Matrix!C18-2, 1))</f>
        <v>-</v>
      </c>
      <c r="H26" s="122" t="str">
        <f t="array" ref="H26">IF(OR(ISBLANK(F$6),ISBLANK(G$6),ISBLANK(H$6),ISBLANK(I$6),ISBLANK(J$6),ISBLANK(B$11)), "-",
 INDEX(FDR,MATCH(A26,fdr_regions,0),0))</f>
        <v>-</v>
      </c>
      <c r="I26" s="63" t="str">
        <f t="array" ref="I26">IF(OR(ISBLANK(F6),ISBLANK(G6),ISBLANK(H6),ISBLANK(I6),ISBLANK(J6),ISBLANK(B26)), "-",
(B26-C26)/ SQRT(Matrix!D18))</f>
        <v>-</v>
      </c>
      <c r="J26" s="72" t="str">
        <f t="array" ref="J26">IF(OR(ISBLANK(F6),ISBLANK(G6),ISBLANK(H6),ISBLANK(I6),ISBLANK(J6),ISBLANK(B26)), "-",
IF(AND(ABS(I26) &gt;0, ABS(I26)&lt; 0.043), NT_NCP(0.975,Matrix!C18-1,I26*SQRT(Matrix!C18),100,100)/SQRT(Matrix!C18), NCP_T_NC(0.975,I26*SQRT(Matrix!C18),Matrix!C18-1)/SQRT(Matrix!C18)))</f>
        <v>-</v>
      </c>
      <c r="K26" s="73" t="str">
        <f t="array" ref="K26">IF(OR(ISBLANK(F6),ISBLANK(G6),ISBLANK(H6),ISBLANK(I6),ISBLANK(J6),ISBLANK(B26)), "-",
IF(AND(ABS(I26) &gt;0, ABS(I26)&lt; 0.043), NT_NCP(0.025,Matrix!C18-1,I26*SQRT(Matrix!C18),100,100)/SQRT(Matrix!C18), NCP_T_NC(0.025,I26*SQRT(Matrix!C18),Matrix!C18-1)/SQRT(Matrix!C18)))</f>
        <v>-</v>
      </c>
      <c r="L26" s="74" t="str">
        <f t="array" ref="L26">IF(OR(ISBLANK(F6),ISBLANK(G6),ISBLANK(H6),ISBLANK(I6),ISBLANK(J6),ISBLANK(B26)), "-",
IF(F26 &lt; 0, TDIST(ABS(F26), Matrix!C18-2, 1),1 - (TDIST(ABS(F26), Matrix!C18-2, 1))))</f>
        <v>-</v>
      </c>
      <c r="M26" s="65" t="str">
        <f t="array" ref="M26">IF(OR(ISBLANK(F6),ISBLANK(G6),ISBLANK(H6),ISBLANK(I6),ISBLANK(J6),ISBLANK(B26)), "-",
IF(F26&lt;0,
IF(AND(ABS(F26) &gt;0, ABS(F26)&lt; 0.043),
NORMSDIST(NT_NCP(0.975,Matrix!C18-1,F26*SQRT(Matrix!C18),100,100)/SQRT(Matrix!C18))*100,
NORMSDIST(NCP_T_NC(0.975,F26*SQRT(Matrix!C18),Matrix!C18-1)/SQRT(Matrix!C18))*100),
IF(AND(ABS(F26) &gt;0, ABS(F26)&lt; 0.043),
(NORMSDIST(NT_NCP(0.975,Matrix!C18-1,
F26*SQRT(Matrix!C18),100,100)/SQRT(Matrix!C18)))*100,
(NORMSDIST(NCP_T_NC(0.975,F26*SQRT(Matrix!C18),Matrix!C18-1)/SQRT(Matrix!C18)))*100)))</f>
        <v>-</v>
      </c>
      <c r="N26" s="66" t="str">
        <f t="array" ref="N26">IF(OR(ISBLANK(F6),ISBLANK(G6),ISBLANK(H6),ISBLANK(I6),ISBLANK(J6),ISBLANK(B26)), "-",
IF(F26&lt;0,
IF(AND(ABS(F26) &gt;0, ABS(F26)&lt; 0.043),
NORMSDIST(NT_NCP(0.025,Matrix!C18-1,F26*SQRT(Matrix!C18),100,100)/SQRT(Matrix!C18))*100,
NORMSDIST(NCP_T_NC(0.025,F26*SQRT(Matrix!C18),Matrix!C18-1)/SQRT(Matrix!C18))*100),
IF(AND(ABS(F26) &gt;0, ABS(F26)&lt; 0.043),
(NORMSDIST(NT_NCP(0.025,Matrix!C18-1,
F26*SQRT(Matrix!C18),100,100)/SQRT(Matrix!C18)))*100,
(NORMSDIST(NCP_T_NC(0.025,F26*SQRT(Matrix!C18),Matrix!C18-1)/SQRT(Matrix!C18)))*100)))</f>
        <v>-</v>
      </c>
      <c r="O26" s="40"/>
      <c r="P26" s="40"/>
      <c r="Q26" s="40"/>
      <c r="R26" s="40"/>
      <c r="X26" s="145"/>
      <c r="AE26" s="82"/>
      <c r="AF26" s="82"/>
    </row>
    <row r="27" spans="1:32" ht="25" customHeight="1">
      <c r="A27" s="76" t="s">
        <v>18</v>
      </c>
      <c r="B27" s="32"/>
      <c r="C27" s="57" t="str">
        <f t="array" ref="C27">IF(OR(ISBLANK(F6),ISBLANK(G6),ISBLANK(H6),ISBLANK(I6),ISBLANK(J6)), "-",
MMULT(X_Right_VentralDC, B_Right_VentralDC))</f>
        <v>-</v>
      </c>
      <c r="D27" s="77" t="str">
        <f t="array" ref="D27">IF(OR(ISBLANK(F6),ISBLANK(G6),ISBLANK(H6),ISBLANK(I6),ISBLANK(J6)), "-",
C27-t_right_ventraldc*SQRT(MSE_right_ventraldc*(1+MMULT(MMULT(X_Right_VentralDC,M_Right_VentralDC),TRANSPOSE(X_Right_VentralDC)))))</f>
        <v>-</v>
      </c>
      <c r="E27" s="70" t="str">
        <f t="array" ref="E27">IF(OR(ISBLANK(F6),ISBLANK(G6),ISBLANK(H6),ISBLANK(I6),ISBLANK(J6)), "-",
C27+t_right_ventraldc*SQRT(MSE_right_ventraldc*(1+MMULT(MMULT(X_Right_VentralDC,M_Right_VentralDC),TRANSPOSE(X_Right_VentralDC)))))</f>
        <v>-</v>
      </c>
      <c r="F27" s="121" t="str">
        <f t="array" ref="F27">IF(OR(ISBLANK(F6),ISBLANK(G6),ISBLANK(H6),ISBLANK(I6),ISBLANK(J6),ISBLANK(B27)), "-",
(B27-C27)/ SQRT(MSE_right_ventraldc*(1+MMULT(MMULT(X_Right_VentralDC,M_Right_VentralDC),TRANSPOSE(X_Right_VentralDC)))))</f>
        <v>-</v>
      </c>
      <c r="G27" s="71" t="str">
        <f t="array" ref="G27">IF(OR(ISBLANK(F6),ISBLANK(G6),ISBLANK(H6),ISBLANK(I6),ISBLANK(J6),ISBLANK(B27)), "-",
TDIST(ABS(F27), Matrix!C19-2, 1))</f>
        <v>-</v>
      </c>
      <c r="H27" s="122" t="str">
        <f t="array" ref="H27">IF(OR(ISBLANK(F$6),ISBLANK(G$6),ISBLANK(H$6),ISBLANK(I$6),ISBLANK(J$6),ISBLANK(B$11)), "-",
 INDEX(FDR,MATCH(A27,fdr_regions,0),0))</f>
        <v>-</v>
      </c>
      <c r="I27" s="63" t="str">
        <f t="array" ref="I27">IF(OR(ISBLANK(F6),ISBLANK(G6),ISBLANK(H6),ISBLANK(I6),ISBLANK(J6),ISBLANK(B27)), "-",
(B27-C27)/ SQRT(Matrix!D19))</f>
        <v>-</v>
      </c>
      <c r="J27" s="72" t="str">
        <f t="array" ref="J27">IF(OR(ISBLANK(F6),ISBLANK(G6),ISBLANK(H6),ISBLANK(I6),ISBLANK(J6),ISBLANK(B27)), "-",
IF(AND(ABS(I27) &gt;0, ABS(I27)&lt; 0.043), NT_NCP(0.975,Matrix!C19-1,I27*SQRT(Matrix!C19),100,100)/SQRT(Matrix!C19), NCP_T_NC(0.975,I27*SQRT(Matrix!C19),Matrix!C19-1)/SQRT(Matrix!C19)))</f>
        <v>-</v>
      </c>
      <c r="K27" s="73" t="str">
        <f t="array" ref="K27">IF(OR(ISBLANK(F6),ISBLANK(G6),ISBLANK(H6),ISBLANK(I6),ISBLANK(J6),ISBLANK(B27)), "-",
IF(AND(ABS(I27) &gt;0, ABS(I27)&lt; 0.043), NT_NCP(0.025,Matrix!C19-1,I27*SQRT(Matrix!C19),100,100)/SQRT(Matrix!C19), NCP_T_NC(0.025,I27*SQRT(Matrix!C19),Matrix!C19-1)/SQRT(Matrix!C19)))</f>
        <v>-</v>
      </c>
      <c r="L27" s="74" t="str">
        <f t="array" ref="L27">IF(OR(ISBLANK(F6),ISBLANK(G6),ISBLANK(H6),ISBLANK(I6),ISBLANK(J6),ISBLANK(B27)), "-",
IF(F27 &lt; 0, TDIST(ABS(F27), Matrix!C19-2, 1),1 - (TDIST(ABS(F27), Matrix!C19-2, 1))))</f>
        <v>-</v>
      </c>
      <c r="M27" s="65" t="str">
        <f t="array" ref="M27">IF(OR(ISBLANK(F6),ISBLANK(G6),ISBLANK(H6),ISBLANK(I6),ISBLANK(J6),ISBLANK(B27)), "-",
IF(F27&lt;0,
IF(AND(ABS(F27) &gt;0, ABS(F27)&lt; 0.043),
NORMSDIST(NT_NCP(0.975,Matrix!C19-1,F27*SQRT(Matrix!C19),100,100)/SQRT(Matrix!C19))*100,
NORMSDIST(NCP_T_NC(0.975,F27*SQRT(Matrix!C19),Matrix!C19-1)/SQRT(Matrix!C19))*100),
IF(AND(ABS(F27) &gt;0, ABS(F27)&lt; 0.043),
(NORMSDIST(NT_NCP(0.975,Matrix!C19-1,
F27*SQRT(Matrix!C19),100,100)/SQRT(Matrix!C19)))*100,
(NORMSDIST(NCP_T_NC(0.975,F27*SQRT(Matrix!C19),Matrix!C19-1)/SQRT(Matrix!C19)))*100)))</f>
        <v>-</v>
      </c>
      <c r="N27" s="66" t="str">
        <f t="array" ref="N27">IF(OR(ISBLANK(F6),ISBLANK(G6),ISBLANK(H6),ISBLANK(I6),ISBLANK(J6),ISBLANK(B27)), "-",
IF(F27&lt;0,
IF(AND(ABS(F27) &gt;0, ABS(F27)&lt; 0.043),
NORMSDIST(NT_NCP(0.025,Matrix!C19-1,F27*SQRT(Matrix!C19),100,100)/SQRT(Matrix!C19))*100,
NORMSDIST(NCP_T_NC(0.025,F27*SQRT(Matrix!C19),Matrix!C19-1)/SQRT(Matrix!C19))*100),
IF(AND(ABS(F27) &gt;0, ABS(F27)&lt; 0.043),
(NORMSDIST(NT_NCP(0.025,Matrix!C19-1,
F27*SQRT(Matrix!C19),100,100)/SQRT(Matrix!C19)))*100,
(NORMSDIST(NCP_T_NC(0.025,F27*SQRT(Matrix!C19),Matrix!C19-1)/SQRT(Matrix!C19)))*100)))</f>
        <v>-</v>
      </c>
      <c r="O27" s="40"/>
      <c r="P27" s="40"/>
      <c r="Q27" s="40"/>
      <c r="R27" s="40"/>
      <c r="X27" s="145"/>
      <c r="AE27" s="82"/>
      <c r="AF27" s="82"/>
    </row>
    <row r="28" spans="1:32" ht="25" customHeight="1">
      <c r="A28" s="76" t="s">
        <v>19</v>
      </c>
      <c r="B28" s="32"/>
      <c r="C28" s="57" t="str">
        <f t="array" ref="C28">IF(OR(ISBLANK(F6),ISBLANK(G6),ISBLANK(H6),ISBLANK(I6),ISBLANK(J6)), "-",
10^MMULT(X_ventricles_log, B_ventricles_log))</f>
        <v>-</v>
      </c>
      <c r="D28" s="77" t="str">
        <f t="array" ref="D28">IF(OR(ISBLANK(F6),ISBLANK(G6),ISBLANK(H6),ISBLANK(I6),ISBLANK(J6)), "-",
10^(LOG10(C28)-t_ventricles_log*(SQRT(MSE_ventricles_log*(1+MMULT(MMULT(X_ventricles_log,M_ventricles_log),TRANSPOSE(X_ventricles_log)))))))</f>
        <v>-</v>
      </c>
      <c r="E28" s="70" t="str">
        <f t="array" ref="E28">IF(OR(ISBLANK(F6),ISBLANK(G6),ISBLANK(H6),ISBLANK(I6),ISBLANK(J6)), "-",
10^(LOG10(C28)+t_ventricles_log*(SQRT(MSE_ventricles_log*(1+MMULT(MMULT(X_ventricles_log,M_ventricles_log),TRANSPOSE(X_ventricles_log)))))))</f>
        <v>-</v>
      </c>
      <c r="F28" s="121" t="str">
        <f t="array" ref="F28">IF(OR(ISBLANK(F6),ISBLANK(G6),ISBLANK(H6),ISBLANK(I6),ISBLANK(J6),ISBLANK(B28)), "-",
(LOG10(B28)-LOG10(C28))/ SQRT(MSE_ventricles_log*(1+MMULT(MMULT(X_ventricles_log,M_ventricles_log),TRANSPOSE(X_ventricles_log)))))</f>
        <v>-</v>
      </c>
      <c r="G28" s="71" t="str">
        <f t="array" ref="G28">IF(OR(ISBLANK(F6),ISBLANK(G6),ISBLANK(H6),ISBLANK(I6),ISBLANK(J6),ISBLANK(B28)), "-",
TDIST(ABS(F28), Matrix!C20-2, 1))</f>
        <v>-</v>
      </c>
      <c r="H28" s="122" t="str">
        <f t="array" ref="H28">IF(OR(ISBLANK(F$6),ISBLANK(G$6),ISBLANK(H$6),ISBLANK(I$6),ISBLANK(J$6),ISBLANK(B$11)), "-",
 INDEX(FDR,MATCH(A28,fdr_regions,0),0))</f>
        <v>-</v>
      </c>
      <c r="I28" s="63" t="str">
        <f t="array" ref="I28">IF(OR(ISBLANK(F6),ISBLANK(G6),ISBLANK(H6),ISBLANK(I6),ISBLANK(J6),ISBLANK(B28)), "-",
(LOG10(B28)-LOG10(C28))/ SQRT(Matrix!D20))</f>
        <v>-</v>
      </c>
      <c r="J28" s="72" t="str">
        <f t="array" ref="J28">IF(OR(ISBLANK(F6),ISBLANK(G6),ISBLANK(H6),ISBLANK(I6),ISBLANK(J6),ISBLANK(B28)), "-",
IF(AND(ABS(I28) &gt;0, ABS(I28)&lt; 0.043), NT_NCP(0.975,Matrix!C20-1,I28*SQRT(Matrix!C20),100,100)/SQRT(Matrix!C20), NCP_T_NC(0.975,I28*SQRT(Matrix!C20),Matrix!C20-1)/SQRT(Matrix!C20)))</f>
        <v>-</v>
      </c>
      <c r="K28" s="73" t="str">
        <f t="array" ref="K28">IF(OR(ISBLANK(F6),ISBLANK(G6),ISBLANK(H6),ISBLANK(I6),ISBLANK(J6),ISBLANK(B28)), "-",
IF(AND(ABS(I28) &gt;0, ABS(I28)&lt; 0.043), NT_NCP(0.025,Matrix!C20-1,I28*SQRT(Matrix!C20),100,100)/SQRT(Matrix!C20), NCP_T_NC(0.025,I28*SQRT(Matrix!C20),Matrix!C20-1)/SQRT(Matrix!C20)))</f>
        <v>-</v>
      </c>
      <c r="L28" s="74" t="str">
        <f t="array" ref="L28">IF(OR(ISBLANK(F6),ISBLANK(G6),ISBLANK(H6),ISBLANK(I6),ISBLANK(J6),ISBLANK(B28)), "-",
IF(F28 &lt; 0, TDIST(ABS(F28), Matrix!C20-2, 1),1 - (TDIST(ABS(F28), Matrix!C20-2, 1))))</f>
        <v>-</v>
      </c>
      <c r="M28" s="65" t="str">
        <f t="array" ref="M28">IF(OR(ISBLANK(F6),ISBLANK(G6),ISBLANK(H6),ISBLANK(I6),ISBLANK(J6),ISBLANK(B28)), "-",
IF(F28&lt;0,
IF(AND(ABS(F28) &gt;0, ABS(F28)&lt; 0.043),
NORMSDIST(NT_NCP(0.975,Matrix!C20-1,F28*SQRT(Matrix!C20),100,100)/SQRT(Matrix!C20))*100,
NORMSDIST(NCP_T_NC(0.975,F28*SQRT(Matrix!C20),Matrix!C20-1)/SQRT(Matrix!C20))*100),
IF(AND(ABS(F28) &gt;0, ABS(F28)&lt; 0.043),
(NORMSDIST(NT_NCP(0.975,Matrix!C20-1,
F28*SQRT(Matrix!C20),100,100)/SQRT(Matrix!C20)))*100,
(NORMSDIST(NCP_T_NC(0.975,F28*SQRT(Matrix!C20),Matrix!C20-1)/SQRT(Matrix!C20)))*100)))</f>
        <v>-</v>
      </c>
      <c r="N28" s="66" t="str">
        <f t="array" ref="N28">IF(OR(ISBLANK(F6),ISBLANK(G6),ISBLANK(H6),ISBLANK(I6),ISBLANK(J6),ISBLANK(B28)), "-",
IF(F28&lt;0,
IF(AND(ABS(F28) &gt;0, ABS(F28)&lt; 0.043),
NORMSDIST(NT_NCP(0.025,Matrix!C20-1,F28*SQRT(Matrix!C20),100,100)/SQRT(Matrix!C20))*100,
NORMSDIST(NCP_T_NC(0.025,F28*SQRT(Matrix!C20),Matrix!C20-1)/SQRT(Matrix!C20))*100),
IF(AND(ABS(F28) &gt;0, ABS(F28)&lt; 0.043),
(NORMSDIST(NT_NCP(0.025,Matrix!C20-1,
F28*SQRT(Matrix!C20),100,100)/SQRT(Matrix!C20)))*100,
(NORMSDIST(NCP_T_NC(0.025,F28*SQRT(Matrix!C20),Matrix!C20-1)/SQRT(Matrix!C20)))*100)))</f>
        <v>-</v>
      </c>
      <c r="O28" s="40"/>
      <c r="P28" s="40"/>
      <c r="Q28" s="40"/>
      <c r="R28" s="40"/>
      <c r="X28" s="145"/>
      <c r="AE28" s="82"/>
      <c r="AF28" s="82"/>
    </row>
    <row r="29" spans="1:32" ht="25" customHeight="1">
      <c r="A29" s="83" t="s">
        <v>20</v>
      </c>
      <c r="B29" s="32"/>
      <c r="C29" s="57" t="str">
        <f t="array" ref="C29">IF(OR(ISBLANK(F6),ISBLANK(G6),ISBLANK(H6),ISBLANK(I6),ISBLANK(J6)), "-",
10^MMULT(X_LeftLateralVentricle_log, B_LeftLateralVentricle_log))</f>
        <v>-</v>
      </c>
      <c r="D29" s="77" t="str">
        <f t="array" ref="D29">IF(OR(ISBLANK(F6),ISBLANK(G6),ISBLANK(H6),ISBLANK(I6),ISBLANK(J6)), "-",
10^(LOG10(C29)-t_LeftLateralVentricle_log*(SQRT(MSE_LeftLateralVentricle_log*(1+MMULT(MMULT(X_LeftLateralVentricle_log,M_LeftLateralVentricle_log),TRANSPOSE(X_LeftLateralVentricle_log)))))))</f>
        <v>-</v>
      </c>
      <c r="E29" s="70" t="str">
        <f t="array" ref="E29">IF(OR(ISBLANK(F6),ISBLANK(G6),ISBLANK(H6),ISBLANK(I6),ISBLANK(J6)), "-",
10^(LOG10(C29)+t_LeftLateralVentricle_log*(SQRT(MSE_LeftLateralVentricle_log*(1+MMULT(MMULT(X_LeftLateralVentricle_log,M_LeftLateralVentricle_log),TRANSPOSE(X_LeftLateralVentricle_log)))))))</f>
        <v>-</v>
      </c>
      <c r="F29" s="121" t="str">
        <f t="array" ref="F29">IF(OR(ISBLANK(F6),ISBLANK(G6),ISBLANK(H6),ISBLANK(I6),ISBLANK(J6),ISBLANK(B29)), "-",
(LOG10(B29)-LOG10(C29))/ SQRT(MSE_LeftLateralVentricle_log*(1+MMULT(MMULT(X_LeftLateralVentricle_log,M_LeftLateralVentricle_log),TRANSPOSE(X_LeftLateralVentricle_log)))))</f>
        <v>-</v>
      </c>
      <c r="G29" s="71" t="str">
        <f t="array" ref="G29">IF(OR(ISBLANK(F6),ISBLANK(G6),ISBLANK(H6),ISBLANK(I6),ISBLANK(J6),ISBLANK(B29)), "-",
TDIST(ABS(F29), Matrix!C21-2, 1))</f>
        <v>-</v>
      </c>
      <c r="H29" s="122" t="str">
        <f t="array" ref="H29">IF(OR(ISBLANK(F$6),ISBLANK(G$6),ISBLANK(H$6),ISBLANK(I$6),ISBLANK(J$6),ISBLANK(B$11)), "-",
 INDEX(FDR,MATCH(A29,fdr_regions,0),0))</f>
        <v>-</v>
      </c>
      <c r="I29" s="63" t="str">
        <f t="array" ref="I29">IF(OR(ISBLANK(F6),ISBLANK(G6),ISBLANK(H6),ISBLANK(I6),ISBLANK(J6),ISBLANK(B29)), "-",
(LOG10(B29)-LOG10(C29))/ SQRT(Matrix!D21))</f>
        <v>-</v>
      </c>
      <c r="J29" s="72" t="str">
        <f t="array" ref="J29">IF(OR(ISBLANK(F6),ISBLANK(G6),ISBLANK(H6),ISBLANK(I6),ISBLANK(J6),ISBLANK(B29)), "-",
IF(AND(ABS(I29) &gt;0, ABS(I29)&lt; 0.043), NT_NCP(0.975,Matrix!C21-1,I29*SQRT(Matrix!C21),100,100)/SQRT(Matrix!C21), NCP_T_NC(0.975,I29*SQRT(Matrix!C21),Matrix!C21-1)/SQRT(Matrix!C21)))</f>
        <v>-</v>
      </c>
      <c r="K29" s="73" t="str">
        <f t="array" ref="K29">IF(OR(ISBLANK(F6),ISBLANK(G6),ISBLANK(H6),ISBLANK(I6),ISBLANK(J6),ISBLANK(B29)), "-",
IF(AND(ABS(I29) &gt;0, ABS(I29)&lt; 0.043), NT_NCP(0.025,Matrix!C21-1,I29*SQRT(Matrix!C21),100,100)/SQRT(Matrix!C21), NCP_T_NC(0.025,I29*SQRT(Matrix!C21),Matrix!C21-1)/SQRT(Matrix!C21)))</f>
        <v>-</v>
      </c>
      <c r="L29" s="74" t="str">
        <f t="array" ref="L29">IF(OR(ISBLANK(F6),ISBLANK(G6),ISBLANK(H6),ISBLANK(I6),ISBLANK(J6),ISBLANK(B29)), "-",
IF(F29 &lt; 0, TDIST(ABS(F29), Matrix!C21-2, 1),1 - (TDIST(ABS(F29), Matrix!C21-2, 1))))</f>
        <v>-</v>
      </c>
      <c r="M29" s="65" t="str">
        <f t="array" ref="M29">IF(OR(ISBLANK(F6),ISBLANK(G6),ISBLANK(H6),ISBLANK(I6),ISBLANK(J6),ISBLANK(B29)), "-",
IF(F29&lt;0,
IF(AND(ABS(F29) &gt;0, ABS(F29)&lt; 0.043),
NORMSDIST(NT_NCP(0.975,Matrix!C21-1,F29*SQRT(Matrix!C21),100,100)/SQRT(Matrix!C21))*100,
NORMSDIST(NCP_T_NC(0.975,F29*SQRT(Matrix!C21),Matrix!C21-1)/SQRT(Matrix!C21))*100),
IF(AND(ABS(F29) &gt;0, ABS(F29)&lt; 0.043),
(NORMSDIST(NT_NCP(0.975,Matrix!C21-1,
F29*SQRT(Matrix!C21),100,100)/SQRT(Matrix!C21)))*100,
(NORMSDIST(NCP_T_NC(0.975,F29*SQRT(Matrix!C21),Matrix!C21-1)/SQRT(Matrix!C21)))*100)))</f>
        <v>-</v>
      </c>
      <c r="N29" s="66" t="str">
        <f t="array" ref="N29">IF(OR(ISBLANK(F6),ISBLANK(G6),ISBLANK(H6),ISBLANK(I6),ISBLANK(J6),ISBLANK(B29)), "-",
IF(F29&lt;0,
IF(AND(ABS(F29) &gt;0, ABS(F29)&lt; 0.043),
NORMSDIST(NT_NCP(0.025,Matrix!C21-1,F29*SQRT(Matrix!C21),100,100)/SQRT(Matrix!C21))*100,
NORMSDIST(NCP_T_NC(0.025,F29*SQRT(Matrix!C21),Matrix!C21-1)/SQRT(Matrix!C21))*100),
IF(AND(ABS(F29) &gt;0, ABS(F29)&lt; 0.043),
(NORMSDIST(NT_NCP(0.025,Matrix!C21-1,
F29*SQRT(Matrix!C21),100,100)/SQRT(Matrix!C21)))*100,
(NORMSDIST(NCP_T_NC(0.025,F29*SQRT(Matrix!C21),Matrix!C21-1)/SQRT(Matrix!C21)))*100)))</f>
        <v>-</v>
      </c>
      <c r="O29" s="40"/>
      <c r="P29" s="40"/>
      <c r="Q29" s="40"/>
      <c r="R29" s="40"/>
      <c r="X29" s="145"/>
      <c r="AE29" s="82"/>
      <c r="AF29" s="82"/>
    </row>
    <row r="30" spans="1:32" ht="25" customHeight="1">
      <c r="A30" s="83" t="s">
        <v>21</v>
      </c>
      <c r="B30" s="32"/>
      <c r="C30" s="57" t="str">
        <f t="array" ref="C30">IF(OR(ISBLANK(F6),ISBLANK(G6),ISBLANK(H6),ISBLANK(I6),ISBLANK(J6)), "-",
10^MMULT(X_RightLateralVentricle_log, B_RightLateralVentricle_log))</f>
        <v>-</v>
      </c>
      <c r="D30" s="77" t="str">
        <f t="array" ref="D30">IF(OR(ISBLANK(F6),ISBLANK(G6),ISBLANK(H6),ISBLANK(I6),ISBLANK(J6)), "-",
10^(LOG10(C30)-t_RightLateralVentricle_log*(SQRT(MSE_RightLateralVentricle_log*(1+MMULT(MMULT(X_RightLateralVentricle_log,M_RightLateralVentricle_log),TRANSPOSE(X_RightLateralVentricle_log)))))))</f>
        <v>-</v>
      </c>
      <c r="E30" s="70" t="str">
        <f t="array" ref="E30">IF(OR(ISBLANK(F6),ISBLANK(G6),ISBLANK(H6),ISBLANK(I6),ISBLANK(J6)), "-",
10^(LOG10(C30)+t_RightLateralVentricle_log*(SQRT(MSE_RightLateralVentricle_log*(1+MMULT(MMULT(X_RightLateralVentricle_log,M_RightLateralVentricle_log),TRANSPOSE(X_RightLateralVentricle_log)))))))</f>
        <v>-</v>
      </c>
      <c r="F30" s="121" t="str">
        <f t="array" ref="F30">IF(OR(ISBLANK(F6),ISBLANK(G6),ISBLANK(H6),ISBLANK(I6),ISBLANK(J6),ISBLANK(B30)), "-",
(LOG10(B30)-LOG10(C30))/ SQRT(MSE_RightLateralVentricle_log*(1+MMULT(MMULT(X_RightLateralVentricle_log,M_RightLateralVentricle_log),TRANSPOSE(X_RightLateralVentricle_log)))))</f>
        <v>-</v>
      </c>
      <c r="G30" s="71" t="str">
        <f t="array" ref="G30">IF(OR(ISBLANK(F6),ISBLANK(G6),ISBLANK(H6),ISBLANK(I6),ISBLANK(J6),ISBLANK(B30)), "-",
TDIST(ABS(F30), Matrix!C22-2, 1))</f>
        <v>-</v>
      </c>
      <c r="H30" s="122" t="str">
        <f t="array" ref="H30">IF(OR(ISBLANK(F$6),ISBLANK(G$6),ISBLANK(H$6),ISBLANK(I$6),ISBLANK(J$6),ISBLANK(B$11)), "-",
 INDEX(FDR,MATCH(A30,fdr_regions,0),0))</f>
        <v>-</v>
      </c>
      <c r="I30" s="63" t="str">
        <f t="array" ref="I30">IF(OR(ISBLANK(F6),ISBLANK(G6),ISBLANK(H6),ISBLANK(I6),ISBLANK(J6),ISBLANK(B30)), "-",
(LOG10(B30)-LOG10(C30))/ SQRT(Matrix!D22))</f>
        <v>-</v>
      </c>
      <c r="J30" s="72" t="str">
        <f t="array" ref="J30">IF(OR(ISBLANK(F6),ISBLANK(G6),ISBLANK(H6),ISBLANK(I6),ISBLANK(J6),ISBLANK(B30)), "-",
IF(AND(ABS(I30) &gt;0, ABS(I30)&lt; 0.043), NT_NCP(0.975,Matrix!C22-1,I30*SQRT(Matrix!C22),100,100)/SQRT(Matrix!C22), NCP_T_NC(0.975,I30*SQRT(Matrix!C22),Matrix!C22-1)/SQRT(Matrix!C22)))</f>
        <v>-</v>
      </c>
      <c r="K30" s="73" t="str">
        <f t="array" ref="K30">IF(OR(ISBLANK(F6),ISBLANK(G6),ISBLANK(H6),ISBLANK(I6),ISBLANK(J6),ISBLANK(B30)), "-",
IF(AND(ABS(I30) &gt;0, ABS(I30)&lt; 0.043), NT_NCP(0.025,Matrix!C22-1,I30*SQRT(Matrix!C22),100,100)/SQRT(Matrix!C22), NCP_T_NC(0.025,I30*SQRT(Matrix!C22),Matrix!C22-1)/SQRT(Matrix!C22)))</f>
        <v>-</v>
      </c>
      <c r="L30" s="74" t="str">
        <f t="array" ref="L30">IF(OR(ISBLANK(F6),ISBLANK(G6),ISBLANK(H6),ISBLANK(I6),ISBLANK(J6),ISBLANK(B30)), "-",
IF(F30 &lt; 0, TDIST(ABS(F30), Matrix!C22-2, 1),1 - (TDIST(ABS(F30), Matrix!C22-2, 1))))</f>
        <v>-</v>
      </c>
      <c r="M30" s="65" t="str">
        <f t="array" ref="M30">IF(OR(ISBLANK(F6),ISBLANK(G6),ISBLANK(H6),ISBLANK(I6),ISBLANK(J6),ISBLANK(B30)), "-",
IF(F30&lt;0,
IF(AND(ABS(F30) &gt;0, ABS(F30)&lt; 0.043),
NORMSDIST(NT_NCP(0.975,Matrix!C22-1,F30*SQRT(Matrix!C22),100,100)/SQRT(Matrix!C22))*100,
NORMSDIST(NCP_T_NC(0.975,F30*SQRT(Matrix!C22),Matrix!C22-1)/SQRT(Matrix!C22))*100),
IF(AND(ABS(F30) &gt;0, ABS(F30)&lt; 0.043),
(NORMSDIST(NT_NCP(0.975,Matrix!C22-1,
F30*SQRT(Matrix!C22),100,100)/SQRT(Matrix!C22)))*100,
(NORMSDIST(NCP_T_NC(0.975,F30*SQRT(Matrix!C22),Matrix!C22-1)/SQRT(Matrix!C22)))*100)))</f>
        <v>-</v>
      </c>
      <c r="N30" s="66" t="str">
        <f t="array" ref="N30">IF(OR(ISBLANK(F6),ISBLANK(G6),ISBLANK(H6),ISBLANK(I6),ISBLANK(J6),ISBLANK(B30)), "-",
IF(F30&lt;0,
IF(AND(ABS(F30) &gt;0, ABS(F30)&lt; 0.043),
NORMSDIST(NT_NCP(0.025,Matrix!C22-1,F30*SQRT(Matrix!C22),100,100)/SQRT(Matrix!C22))*100,
NORMSDIST(NCP_T_NC(0.025,F30*SQRT(Matrix!C22),Matrix!C22-1)/SQRT(Matrix!C22))*100),
IF(AND(ABS(F30) &gt;0, ABS(F30)&lt; 0.043),
(NORMSDIST(NT_NCP(0.025,Matrix!C22-1,
F30*SQRT(Matrix!C22),100,100)/SQRT(Matrix!C22)))*100,
(NORMSDIST(NCP_T_NC(0.025,F30*SQRT(Matrix!C22),Matrix!C22-1)/SQRT(Matrix!C22)))*100)))</f>
        <v>-</v>
      </c>
      <c r="O30" s="40"/>
      <c r="P30" s="40"/>
      <c r="Q30" s="40"/>
      <c r="R30" s="40"/>
      <c r="X30" s="145"/>
      <c r="AE30" s="82"/>
      <c r="AF30" s="82"/>
    </row>
    <row r="31" spans="1:32" ht="25" customHeight="1">
      <c r="A31" s="83" t="s">
        <v>22</v>
      </c>
      <c r="B31" s="32"/>
      <c r="C31" s="57" t="str">
        <f t="array" ref="C31">IF(OR(ISBLANK(F6),ISBLANK(G6),ISBLANK(H6),ISBLANK(I6),ISBLANK(J6)), "-",
10^MMULT(X_LeftInfLatVent_log, B_LeftInfLatVent_log))</f>
        <v>-</v>
      </c>
      <c r="D31" s="77" t="str">
        <f t="array" ref="D31">IF(OR(ISBLANK(F6),ISBLANK(G6),ISBLANK(H6),ISBLANK(I6),ISBLANK(J6)), "-",
10^(LOG10(C31)-t_LeftInfLatVent_log*(SQRT(MSE_LeftInfLatVent_log*(1+MMULT(MMULT(X_LeftInfLatVent_log,M_LeftInfLatVent_log),TRANSPOSE(X_LeftInfLatVent_log)))))))</f>
        <v>-</v>
      </c>
      <c r="E31" s="70" t="str">
        <f t="array" ref="E31">IF(OR(ISBLANK(F6),ISBLANK(G6),ISBLANK(H6),ISBLANK(I6),ISBLANK(J6)), "-",
10^(LOG10(C31)+t_LeftInfLatVent_log*(SQRT(MSE_LeftInfLatVent_log*(1+MMULT(MMULT(X_LeftInfLatVent_log,M_LeftInfLatVent_log),TRANSPOSE(X_LeftInfLatVent_log)))))))</f>
        <v>-</v>
      </c>
      <c r="F31" s="121" t="str">
        <f t="array" ref="F31">IF(OR(ISBLANK(F6),ISBLANK(G6),ISBLANK(H6),ISBLANK(I6),ISBLANK(J6),ISBLANK(B31)), "-",
(LOG10(B31)-LOG10(C31))/ SQRT(MSE_LeftInfLatVent_log*(1+MMULT(MMULT(X_LeftInfLatVent_log,M_LeftInfLatVent_log),TRANSPOSE(X_LeftInfLatVent_log)))))</f>
        <v>-</v>
      </c>
      <c r="G31" s="71" t="str">
        <f t="array" ref="G31">IF(OR(ISBLANK(F6),ISBLANK(G6),ISBLANK(H6),ISBLANK(I6),ISBLANK(J6),ISBLANK(B31)), "-",
TDIST(ABS(F31), Matrix!C23-2, 1))</f>
        <v>-</v>
      </c>
      <c r="H31" s="122" t="str">
        <f t="array" ref="H31">IF(OR(ISBLANK(F$6),ISBLANK(G$6),ISBLANK(H$6),ISBLANK(I$6),ISBLANK(J$6),ISBLANK(B$11)), "-",
 INDEX(FDR,MATCH(A31,fdr_regions,0),0))</f>
        <v>-</v>
      </c>
      <c r="I31" s="63" t="str">
        <f t="array" ref="I31">IF(OR(ISBLANK(F6),ISBLANK(G6),ISBLANK(H6),ISBLANK(I6),ISBLANK(J6),ISBLANK(B31)), "-",
(LOG10(B31)-LOG10(C31))/ SQRT(Matrix!D23))</f>
        <v>-</v>
      </c>
      <c r="J31" s="72" t="str">
        <f t="array" ref="J31">IF(OR(ISBLANK(F6),ISBLANK(G6),ISBLANK(H6),ISBLANK(I6),ISBLANK(J6),ISBLANK(B31)), "-",
IF(AND(ABS(I31) &gt;0, ABS(I31)&lt; 0.043), NT_NCP(0.975,Matrix!C23-1,I31*SQRT(Matrix!C23),100,100)/SQRT(Matrix!C23), NCP_T_NC(0.975,I31*SQRT(Matrix!C23),Matrix!C23-1)/SQRT(Matrix!C23)))</f>
        <v>-</v>
      </c>
      <c r="K31" s="73" t="str">
        <f t="array" ref="K31">IF(OR(ISBLANK(F6),ISBLANK(G6),ISBLANK(H6),ISBLANK(I6),ISBLANK(J6),ISBLANK(B31)), "-",
IF(AND(ABS(I31) &gt;0, ABS(I31)&lt; 0.043), NT_NCP(0.025,Matrix!C23-1,I31*SQRT(Matrix!C23),100,100)/SQRT(Matrix!C23), NCP_T_NC(0.025,I31*SQRT(Matrix!C23),Matrix!C23-1)/SQRT(Matrix!C23)))</f>
        <v>-</v>
      </c>
      <c r="L31" s="74" t="str">
        <f t="array" ref="L31">IF(OR(ISBLANK(F6),ISBLANK(G6),ISBLANK(H6),ISBLANK(I6),ISBLANK(J6),ISBLANK(B31)), "-",
IF(F31 &lt; 0, TDIST(ABS(F31), Matrix!C23-2, 1),1 - (TDIST(ABS(F31), Matrix!C23-2, 1))))</f>
        <v>-</v>
      </c>
      <c r="M31" s="65" t="str">
        <f t="array" ref="M31">IF(OR(ISBLANK(F6),ISBLANK(G6),ISBLANK(H6),ISBLANK(I6),ISBLANK(J6),ISBLANK(B31)), "-",
IF(F31&lt;0,
IF(AND(ABS(F31) &gt;0, ABS(F31)&lt; 0.043),
NORMSDIST(NT_NCP(0.975,Matrix!C23-1,F31*SQRT(Matrix!C23),100,100)/SQRT(Matrix!C23))*100,
NORMSDIST(NCP_T_NC(0.975,F31*SQRT(Matrix!C23),Matrix!C23-1)/SQRT(Matrix!C23))*100),
IF(AND(ABS(F31) &gt;0, ABS(F31)&lt; 0.043),
(NORMSDIST(NT_NCP(0.975,Matrix!C23-1,
F31*SQRT(Matrix!C23),100,100)/SQRT(Matrix!C23)))*100,
(NORMSDIST(NCP_T_NC(0.975,F31*SQRT(Matrix!C23),Matrix!C23-1)/SQRT(Matrix!C23)))*100)))</f>
        <v>-</v>
      </c>
      <c r="N31" s="66" t="str">
        <f t="array" ref="N31">IF(OR(ISBLANK(F6),ISBLANK(G6),ISBLANK(H6),ISBLANK(I6),ISBLANK(J6),ISBLANK(B31)), "-",
IF(F31&lt;0,
IF(AND(ABS(F31) &gt;0, ABS(F31)&lt; 0.043),
NORMSDIST(NT_NCP(0.025,Matrix!C23-1,F31*SQRT(Matrix!C23),100,100)/SQRT(Matrix!C23))*100,
NORMSDIST(NCP_T_NC(0.025,F31*SQRT(Matrix!C23),Matrix!C23-1)/SQRT(Matrix!C23))*100),
IF(AND(ABS(F31) &gt;0, ABS(F31)&lt; 0.043),
(NORMSDIST(NT_NCP(0.025,Matrix!C23-1,
F31*SQRT(Matrix!C23),100,100)/SQRT(Matrix!C23)))*100,
(NORMSDIST(NCP_T_NC(0.025,F31*SQRT(Matrix!C23),Matrix!C23-1)/SQRT(Matrix!C23)))*100)))</f>
        <v>-</v>
      </c>
      <c r="O31" s="40"/>
      <c r="P31" s="40"/>
      <c r="Q31" s="40"/>
      <c r="R31" s="40"/>
      <c r="X31" s="145"/>
      <c r="AE31" s="82"/>
      <c r="AF31" s="82"/>
    </row>
    <row r="32" spans="1:32" ht="25" customHeight="1">
      <c r="A32" s="83" t="s">
        <v>23</v>
      </c>
      <c r="B32" s="32"/>
      <c r="C32" s="57" t="str">
        <f t="array" ref="C32">IF(OR(ISBLANK(F6),ISBLANK(G6),ISBLANK(H6),ISBLANK(I6),ISBLANK(J6)), "-",
10^MMULT(X_RightInfLatVent_log, B_RightInfLatVent_log))</f>
        <v>-</v>
      </c>
      <c r="D32" s="77" t="str">
        <f t="array" ref="D32">IF(OR(ISBLANK(F6),ISBLANK(G6),ISBLANK(H6),ISBLANK(I6),ISBLANK(J6)), "-",
10^(LOG10(C32)-t_RightInfLatVent_log*(SQRT(MSE_RightInfLatVent_log*(1+MMULT(MMULT(X_RightInfLatVent_log,M_RightInfLatVent_log),TRANSPOSE(X_RightInfLatVent_log)))))))</f>
        <v>-</v>
      </c>
      <c r="E32" s="70" t="str">
        <f t="array" ref="E32">IF(OR(ISBLANK(F6),ISBLANK(G6),ISBLANK(H6),ISBLANK(I6),ISBLANK(J6)), "-",
10^(LOG10(C32)+t_RightInfLatVent_log*(SQRT(MSE_RightInfLatVent_log*(1+MMULT(MMULT(X_RightInfLatVent_log,M_RightInfLatVent_log),TRANSPOSE(X_RightInfLatVent_log)))))))</f>
        <v>-</v>
      </c>
      <c r="F32" s="121" t="str">
        <f t="array" ref="F32">IF(OR(ISBLANK(F6),ISBLANK(G6),ISBLANK(H6),ISBLANK(I6),ISBLANK(J6),ISBLANK(B32)), "-",
(LOG10(B32)-LOG10(C32))/ SQRT(MSE_RightInfLatVent_log*(1+MMULT(MMULT(X_RightInfLatVent_log,M_RightInfLatVent_log),TRANSPOSE(X_RightInfLatVent_log)))))</f>
        <v>-</v>
      </c>
      <c r="G32" s="71" t="str">
        <f t="array" ref="G32">IF(OR(ISBLANK(F6),ISBLANK(G6),ISBLANK(H6),ISBLANK(I6),ISBLANK(J6),ISBLANK(B32)), "-",
TDIST(ABS(F32), Matrix!C24-2, 1))</f>
        <v>-</v>
      </c>
      <c r="H32" s="122" t="str">
        <f t="array" ref="H32">IF(OR(ISBLANK(F$6),ISBLANK(G$6),ISBLANK(H$6),ISBLANK(I$6),ISBLANK(J$6),ISBLANK(B$11)), "-",
 INDEX(FDR,MATCH(A32,fdr_regions,0),0))</f>
        <v>-</v>
      </c>
      <c r="I32" s="63" t="str">
        <f t="array" ref="I32">IF(OR(ISBLANK(F6),ISBLANK(G6),ISBLANK(H6),ISBLANK(I6),ISBLANK(J6),ISBLANK(B32)), "-",
(LOG10(B32)-LOG10(C32))/ SQRT(Matrix!D24))</f>
        <v>-</v>
      </c>
      <c r="J32" s="72" t="str">
        <f t="array" ref="J32">IF(OR(ISBLANK(F6),ISBLANK(G6),ISBLANK(H6),ISBLANK(I6),ISBLANK(J6),ISBLANK(B32)), "-",
IF(AND(ABS(I32) &gt;0, ABS(I32)&lt; 0.043), NT_NCP(0.975,Matrix!C24-1,I32*SQRT(Matrix!C24),100,100)/SQRT(Matrix!C24), NCP_T_NC(0.975,I32*SQRT(Matrix!C24),Matrix!C24-1)/SQRT(Matrix!C24)))</f>
        <v>-</v>
      </c>
      <c r="K32" s="73" t="str">
        <f t="array" ref="K32">IF(OR(ISBLANK(F6),ISBLANK(G6),ISBLANK(H6),ISBLANK(I6),ISBLANK(J6),ISBLANK(B32)), "-",
IF(AND(ABS(I32) &gt;0, ABS(I32)&lt; 0.043), NT_NCP(0.025,Matrix!C24-1,I32*SQRT(Matrix!C24),100,100)/SQRT(Matrix!C24), NCP_T_NC(0.025,I32*SQRT(Matrix!C24),Matrix!C24-1)/SQRT(Matrix!C24)))</f>
        <v>-</v>
      </c>
      <c r="L32" s="74" t="str">
        <f t="array" ref="L32">IF(OR(ISBLANK(F6),ISBLANK(G6),ISBLANK(H6),ISBLANK(I6),ISBLANK(J6),ISBLANK(B32)), "-",
IF(F32 &lt; 0, TDIST(ABS(F32), Matrix!C24-2, 1),1 - (TDIST(ABS(F32), Matrix!C24-2, 1))))</f>
        <v>-</v>
      </c>
      <c r="M32" s="65" t="str">
        <f t="array" ref="M32">IF(OR(ISBLANK(F6),ISBLANK(G6),ISBLANK(H6),ISBLANK(I6),ISBLANK(J6),ISBLANK(B32)), "-",
IF(F32&lt;0,
IF(AND(ABS(F32) &gt;0, ABS(F32)&lt; 0.043),
NORMSDIST(NT_NCP(0.975,Matrix!C24-1,F32*SQRT(Matrix!C24),100,100)/SQRT(Matrix!C24))*100,
NORMSDIST(NCP_T_NC(0.975,F32*SQRT(Matrix!C24),Matrix!C24-1)/SQRT(Matrix!C24))*100),
IF(AND(ABS(F32) &gt;0, ABS(F32)&lt; 0.043),
(NORMSDIST(NT_NCP(0.975,Matrix!C24-1,
F32*SQRT(Matrix!C24),100,100)/SQRT(Matrix!C24)))*100,
(NORMSDIST(NCP_T_NC(0.975,F32*SQRT(Matrix!C24),Matrix!C24-1)/SQRT(Matrix!C24)))*100)))</f>
        <v>-</v>
      </c>
      <c r="N32" s="66" t="str">
        <f t="array" ref="N32">IF(OR(ISBLANK(F6),ISBLANK(G6),ISBLANK(H6),ISBLANK(I6),ISBLANK(J6),ISBLANK(B32)), "-",
IF(F32&lt;0,
IF(AND(ABS(F32) &gt;0, ABS(F32)&lt; 0.043),
NORMSDIST(NT_NCP(0.025,Matrix!C24-1,F32*SQRT(Matrix!C24),100,100)/SQRT(Matrix!C24))*100,
NORMSDIST(NCP_T_NC(0.025,F32*SQRT(Matrix!C24),Matrix!C24-1)/SQRT(Matrix!C24))*100),
IF(AND(ABS(F32) &gt;0, ABS(F32)&lt; 0.043),
(NORMSDIST(NT_NCP(0.025,Matrix!C24-1,
F32*SQRT(Matrix!C24),100,100)/SQRT(Matrix!C24)))*100,
(NORMSDIST(NCP_T_NC(0.025,F32*SQRT(Matrix!C24),Matrix!C24-1)/SQRT(Matrix!C24)))*100)))</f>
        <v>-</v>
      </c>
      <c r="O32" s="40"/>
      <c r="P32" s="40"/>
      <c r="Q32" s="40"/>
      <c r="R32" s="40"/>
      <c r="X32" s="145"/>
      <c r="AE32" s="82"/>
      <c r="AF32" s="82"/>
    </row>
    <row r="33" spans="1:61" ht="25" customHeight="1">
      <c r="A33" s="83" t="s">
        <v>24</v>
      </c>
      <c r="B33" s="32"/>
      <c r="C33" s="63" t="str">
        <f t="array" ref="C33">IF(OR(ISBLANK(F6),ISBLANK(G6),ISBLANK(H6),ISBLANK(I6),ISBLANK(J6)), "-",
10^MMULT(X__3rdventriclez_log, B__3rdventriclez_log))</f>
        <v>-</v>
      </c>
      <c r="D33" s="77" t="str">
        <f t="array" ref="D33">IF(OR(ISBLANK(F6),ISBLANK(G6),ISBLANK(H6),ISBLANK(I6),ISBLANK(J6)), "-",
10^(LOG10(C33)-t__3rdventriclez_log*(SQRT(MSE__3rdventriclez_log*(1+MMULT(MMULT(X__3rdventriclez_log,M__3rdventriclez_log),TRANSPOSE(X__3rdventriclez_log)))))))</f>
        <v>-</v>
      </c>
      <c r="E33" s="70" t="str">
        <f t="array" ref="E33">IF(OR(ISBLANK(F6),ISBLANK(G6),ISBLANK(H6),ISBLANK(I6),ISBLANK(J6)), "-",
10^(LOG10(C33)+t__3rdventriclez_log*(SQRT(MSE__3rdventriclez_log*(1+MMULT(MMULT(X__3rdventriclez_log,M__3rdventriclez_log),TRANSPOSE(X__3rdventriclez_log)))))))</f>
        <v>-</v>
      </c>
      <c r="F33" s="121" t="str">
        <f t="array" ref="F33">IF(OR(ISBLANK(F6),ISBLANK(G6),ISBLANK(H6),ISBLANK(I6),ISBLANK(J6),ISBLANK(B33)), "-",
(LOG10(B33)-LOG10(C33))/ SQRT(MSE__3rdventriclez_log*(1+MMULT(MMULT(X__3rdventriclez_log,M__3rdventriclez_log),TRANSPOSE(X__3rdventriclez_log)))))</f>
        <v>-</v>
      </c>
      <c r="G33" s="71" t="str">
        <f t="array" ref="G33">IF(OR(ISBLANK(F6),ISBLANK(G6),ISBLANK(H6),ISBLANK(I6),ISBLANK(J6),ISBLANK(B33)), "-",
TDIST(ABS(F33), Matrix!C25-2, 1))</f>
        <v>-</v>
      </c>
      <c r="H33" s="122" t="str">
        <f t="array" ref="H33">IF(OR(ISBLANK(F$6),ISBLANK(G$6),ISBLANK(H$6),ISBLANK(I$6),ISBLANK(J$6),ISBLANK(B$11)), "-",
 INDEX(FDR,MATCH(A33,fdr_regions,0),0))</f>
        <v>-</v>
      </c>
      <c r="I33" s="63" t="str">
        <f t="array" ref="I33">IF(OR(ISBLANK(F6),ISBLANK(G6),ISBLANK(H6),ISBLANK(I6),ISBLANK(J6),ISBLANK(B33)), "-",
(LOG10(B33)-LOG10(C33))/ SQRT(Matrix!D25))</f>
        <v>-</v>
      </c>
      <c r="J33" s="72" t="str">
        <f t="array" ref="J33">IF(OR(ISBLANK(F6),ISBLANK(G6),ISBLANK(H6),ISBLANK(I6),ISBLANK(J6),ISBLANK(B33)), "-",
IF(AND(ABS(I33) &gt;0, ABS(I33)&lt; 0.043), NT_NCP(0.975,Matrix!C25-1,I33*SQRT(Matrix!C25),100,100)/SQRT(Matrix!C25), NCP_T_NC(0.975,I33*SQRT(Matrix!C25),Matrix!C25-1)/SQRT(Matrix!C25)))</f>
        <v>-</v>
      </c>
      <c r="K33" s="73" t="str">
        <f t="array" ref="K33">IF(OR(ISBLANK(F6),ISBLANK(G6),ISBLANK(H6),ISBLANK(I6),ISBLANK(J6),ISBLANK(B33)), "-",
IF(AND(ABS(I33) &gt;0, ABS(I33)&lt; 0.043), NT_NCP(0.025,Matrix!C25-1,I33*SQRT(Matrix!C25),100,100)/SQRT(Matrix!C25), NCP_T_NC(0.025,I33*SQRT(Matrix!C25),Matrix!C25-1)/SQRT(Matrix!C25)))</f>
        <v>-</v>
      </c>
      <c r="L33" s="74" t="str">
        <f t="array" ref="L33">IF(OR(ISBLANK(F6),ISBLANK(G6),ISBLANK(H6),ISBLANK(I6),ISBLANK(J6),ISBLANK(B33)), "-",
IF(F33 &lt; 0, TDIST(ABS(F33), Matrix!C25-2, 1),1 - (TDIST(ABS(F33), Matrix!C25-2, 1))))</f>
        <v>-</v>
      </c>
      <c r="M33" s="65" t="str">
        <f t="array" ref="M33">IF(OR(ISBLANK(F6),ISBLANK(G6),ISBLANK(H6),ISBLANK(I6),ISBLANK(J6),ISBLANK(B33)), "-",
IF(F33&lt;0,
IF(AND(ABS(F33) &gt;0, ABS(F33)&lt; 0.043),
NORMSDIST(NT_NCP(0.975,Matrix!C25-1,F33*SQRT(Matrix!C25),100,100)/SQRT(Matrix!C25))*100,
NORMSDIST(NCP_T_NC(0.975,F33*SQRT(Matrix!C25),Matrix!C25-1)/SQRT(Matrix!C25))*100),
IF(AND(ABS(F33) &gt;0, ABS(F33)&lt; 0.043),
(NORMSDIST(NT_NCP(0.975,Matrix!C25-1,
F33*SQRT(Matrix!C25),100,100)/SQRT(Matrix!C25)))*100,
(NORMSDIST(NCP_T_NC(0.975,F33*SQRT(Matrix!C25),Matrix!C25-1)/SQRT(Matrix!C25)))*100)))</f>
        <v>-</v>
      </c>
      <c r="N33" s="66" t="str">
        <f t="array" ref="N33">IF(OR(ISBLANK(F6),ISBLANK(G6),ISBLANK(H6),ISBLANK(I6),ISBLANK(J6),ISBLANK(B33)), "-",
IF(F33&lt;0,
IF(AND(ABS(F33) &gt;0, ABS(F33)&lt; 0.043),
NORMSDIST(NT_NCP(0.025,Matrix!C25-1,F33*SQRT(Matrix!C25),100,100)/SQRT(Matrix!C25))*100,
NORMSDIST(NCP_T_NC(0.025,F33*SQRT(Matrix!C25),Matrix!C25-1)/SQRT(Matrix!C25))*100),
IF(AND(ABS(F33) &gt;0, ABS(F33)&lt; 0.043),
(NORMSDIST(NT_NCP(0.025,Matrix!C25-1,
F33*SQRT(Matrix!C25),100,100)/SQRT(Matrix!C25)))*100,
(NORMSDIST(NCP_T_NC(0.025,F33*SQRT(Matrix!C25),Matrix!C25-1)/SQRT(Matrix!C25)))*100)))</f>
        <v>-</v>
      </c>
      <c r="O33" s="40"/>
      <c r="P33" s="40"/>
      <c r="Q33" s="40"/>
      <c r="R33" s="40"/>
      <c r="X33" s="145"/>
      <c r="AE33" s="82"/>
      <c r="AF33" s="82"/>
    </row>
    <row r="34" spans="1:61" ht="25" customHeight="1">
      <c r="A34" s="83" t="s">
        <v>25</v>
      </c>
      <c r="B34" s="32"/>
      <c r="C34" s="57" t="str">
        <f t="array" ref="C34">IF(OR(ISBLANK(F6),ISBLANK(G6),ISBLANK(H6),ISBLANK(I6),ISBLANK(J6)), "-",
MMULT(X__4th_Ventricle, B__4th_Ventricle))</f>
        <v>-</v>
      </c>
      <c r="D34" s="77" t="str">
        <f t="array" ref="D34">IF(OR(ISBLANK(F6),ISBLANK(G6),ISBLANK(H6),ISBLANK(I6),ISBLANK(J6)), "-",
C34-t__4th_ventricle*SQRT(MSE__4th_ventricle*(1+MMULT(MMULT(X__4th_Ventricle,M__4th_Ventricle),TRANSPOSE(X__4th_Ventricle)))))</f>
        <v>-</v>
      </c>
      <c r="E34" s="70" t="str">
        <f t="array" ref="E34">IF(OR(ISBLANK(F6),ISBLANK(G6),ISBLANK(H6),ISBLANK(I6),ISBLANK(J6)), "-",
C34+t__4th_ventricle*SQRT(MSE__4th_ventricle*(1+MMULT(MMULT(X__4th_Ventricle,M__4th_Ventricle),TRANSPOSE(X__4th_Ventricle)))))</f>
        <v>-</v>
      </c>
      <c r="F34" s="121" t="str">
        <f t="array" ref="F34">IF(OR(ISBLANK(F6),ISBLANK(G6),ISBLANK(H6),ISBLANK(I6),ISBLANK(J6),ISBLANK(B34)), "-",
(B34-C34)/ SQRT(MSE__4th_ventricle*(1+MMULT(MMULT(X__4th_Ventricle,M__4th_Ventricle),TRANSPOSE(X__4th_Ventricle)))))</f>
        <v>-</v>
      </c>
      <c r="G34" s="71" t="str">
        <f t="array" ref="G34">IF(OR(ISBLANK(F6),ISBLANK(G6),ISBLANK(H6),ISBLANK(I6),ISBLANK(J6),ISBLANK(B34)), "-",
TDIST(ABS(F34), Matrix!C26-2, 1))</f>
        <v>-</v>
      </c>
      <c r="H34" s="122" t="str">
        <f t="array" ref="H34">IF(OR(ISBLANK(F$6),ISBLANK(G$6),ISBLANK(H$6),ISBLANK(I$6),ISBLANK(J$6),ISBLANK(B$11)), "-",
 INDEX(FDR,MATCH(A34,fdr_regions,0),0))</f>
        <v>-</v>
      </c>
      <c r="I34" s="63" t="str">
        <f t="array" ref="I34">IF(OR(ISBLANK(F6),ISBLANK(G6),ISBLANK(H6),ISBLANK(I6),ISBLANK(J6),ISBLANK(B34)), "-",
(B34-C34)/ SQRT(Matrix!D26))</f>
        <v>-</v>
      </c>
      <c r="J34" s="72" t="str">
        <f t="array" ref="J34">IF(OR(ISBLANK(F6),ISBLANK(G6),ISBLANK(H6),ISBLANK(I6),ISBLANK(J6),ISBLANK(B34)), "-",
IF(AND(ABS(I34) &gt;0, ABS(I34)&lt; 0.043), NT_NCP(0.975,Matrix!C26-1,I34*SQRT(Matrix!C26),100,100)/SQRT(Matrix!C26), NCP_T_NC(0.975,I34*SQRT(Matrix!C26),Matrix!C26-1)/SQRT(Matrix!C26)))</f>
        <v>-</v>
      </c>
      <c r="K34" s="73" t="str">
        <f t="array" ref="K34">IF(OR(ISBLANK(F6),ISBLANK(G6),ISBLANK(H6),ISBLANK(I6),ISBLANK(J6),ISBLANK(B34)), "-",
IF(AND(ABS(I34) &gt;0, ABS(I34)&lt; 0.043), NT_NCP(0.025,Matrix!C26-1,I34*SQRT(Matrix!C26),100,100)/SQRT(Matrix!C26), NCP_T_NC(0.025,I34*SQRT(Matrix!C26),Matrix!C26-1)/SQRT(Matrix!C26)))</f>
        <v>-</v>
      </c>
      <c r="L34" s="74" t="str">
        <f t="array" ref="L34">IF(OR(ISBLANK(F6),ISBLANK(G6),ISBLANK(H6),ISBLANK(I6),ISBLANK(J6),ISBLANK(B34)), "-",
IF(F34 &lt; 0, TDIST(ABS(F34), Matrix!C26-2, 1),1 - (TDIST(ABS(F34), Matrix!C26-2, 1))))</f>
        <v>-</v>
      </c>
      <c r="M34" s="65" t="str">
        <f t="array" ref="M34">IF(OR(ISBLANK(F6),ISBLANK(G6),ISBLANK(H6),ISBLANK(I6),ISBLANK(J6),ISBLANK(B34)), "-",
IF(F34&lt;0,
IF(AND(ABS(F34) &gt;0, ABS(F34)&lt; 0.043),
NORMSDIST(NT_NCP(0.975,Matrix!C26-1,F34*SQRT(Matrix!C26),100,100)/SQRT(Matrix!C26))*100,
NORMSDIST(NCP_T_NC(0.975,F34*SQRT(Matrix!C26),Matrix!C26-1)/SQRT(Matrix!C26))*100),
IF(AND(ABS(F34) &gt;0, ABS(F34)&lt; 0.043),
(NORMSDIST(NT_NCP(0.975,Matrix!C26-1,
F34*SQRT(Matrix!C26),100,100)/SQRT(Matrix!C26)))*100,
(NORMSDIST(NCP_T_NC(0.975,F34*SQRT(Matrix!C26),Matrix!C26-1)/SQRT(Matrix!C26)))*100)))</f>
        <v>-</v>
      </c>
      <c r="N34" s="66" t="str">
        <f t="array" ref="N34">IF(OR(ISBLANK(F6),ISBLANK(G6),ISBLANK(H6),ISBLANK(I6),ISBLANK(J6),ISBLANK(B34)), "-",
IF(F34&lt;0,
IF(AND(ABS(F34) &gt;0, ABS(F34)&lt; 0.043),
NORMSDIST(NT_NCP(0.025,Matrix!C26-1,F34*SQRT(Matrix!C26),100,100)/SQRT(Matrix!C26))*100,
NORMSDIST(NCP_T_NC(0.025,F34*SQRT(Matrix!C26),Matrix!C26-1)/SQRT(Matrix!C26))*100),
IF(AND(ABS(F34) &gt;0, ABS(F34)&lt; 0.043),
(NORMSDIST(NT_NCP(0.025,Matrix!C26-1,
F34*SQRT(Matrix!C26),100,100)/SQRT(Matrix!C26)))*100,
(NORMSDIST(NCP_T_NC(0.025,F34*SQRT(Matrix!C26),Matrix!C26-1)/SQRT(Matrix!C26)))*100)))</f>
        <v>-</v>
      </c>
      <c r="O34" s="40"/>
      <c r="P34" s="40"/>
      <c r="Q34" s="40"/>
      <c r="R34" s="40"/>
      <c r="X34" s="145"/>
      <c r="AE34" s="82"/>
      <c r="AF34" s="82"/>
    </row>
    <row r="35" spans="1:61" ht="25" customHeight="1">
      <c r="A35" s="76" t="s">
        <v>10</v>
      </c>
      <c r="B35" s="32"/>
      <c r="C35" s="57" t="str">
        <f t="array" ref="C35">IF(OR(ISBLANK(F6),ISBLANK(G6),ISBLANK(H6),ISBLANK(I6),ISBLANK(J6)), "-",
MMULT(X_CCsum, B_CCsum))</f>
        <v>-</v>
      </c>
      <c r="D35" s="77" t="str">
        <f t="array" ref="D35">IF(OR(ISBLANK(F6),ISBLANK(G6),ISBLANK(H6),ISBLANK(I6),ISBLANK(J6)), "-",
C35-t_CCsum*SQRT(MSE_CCsum*(1+MMULT(MMULT(X_CCsum,M_CCsum),TRANSPOSE(X_CCsum)))))</f>
        <v>-</v>
      </c>
      <c r="E35" s="70" t="str">
        <f t="array" ref="E35">IF(OR(ISBLANK(F6),ISBLANK(G6),ISBLANK(H6),ISBLANK(I6),ISBLANK(J6)), "-",
C35+t_CCsum*SQRT(MSE_CCsum*(1+MMULT(MMULT(X_CCsum,M_CCsum),TRANSPOSE(X_CCsum)))))</f>
        <v>-</v>
      </c>
      <c r="F35" s="121" t="str">
        <f t="array" ref="F35">IF(OR(ISBLANK(F6),ISBLANK(G6),ISBLANK(H6),ISBLANK(I6),ISBLANK(J6),ISBLANK(B35)), "-",
(B35-C35)/ SQRT(MSE_CCsum*(1+MMULT(MMULT(X_CCsum,M_CCsum),TRANSPOSE(X_CCsum)))))</f>
        <v>-</v>
      </c>
      <c r="G35" s="71" t="str">
        <f t="array" ref="G35">IF(OR(ISBLANK(F6),ISBLANK(G6),ISBLANK(H6),ISBLANK(I6),ISBLANK(J6),ISBLANK(B35)), "-",
TDIST(ABS(F35), Matrix!C27-2, 1))</f>
        <v>-</v>
      </c>
      <c r="H35" s="122" t="str">
        <f t="array" ref="H35">IF(OR(ISBLANK(F$6),ISBLANK(G$6),ISBLANK(H$6),ISBLANK(I$6),ISBLANK(J$6),ISBLANK(B$11)), "-",
 INDEX(FDR,MATCH(A35,fdr_regions,0),0))</f>
        <v>-</v>
      </c>
      <c r="I35" s="63" t="str">
        <f t="array" ref="I35">IF(OR(ISBLANK(F6),ISBLANK(G6),ISBLANK(H6),ISBLANK(I6),ISBLANK(J6),ISBLANK(B35)), "-",
(B35-C35)/ SQRT(Matrix!D27))</f>
        <v>-</v>
      </c>
      <c r="J35" s="72" t="str">
        <f t="array" ref="J35">IF(OR(ISBLANK(F6),ISBLANK(G6),ISBLANK(H6),ISBLANK(I6),ISBLANK(J6),ISBLANK(B35)), "-",
IF(AND(ABS(I35) &gt;0, ABS(I35)&lt; 0.043), NT_NCP(0.975,Matrix!C27-1,I35*SQRT(Matrix!C27),100,100)/SQRT(Matrix!C27), NCP_T_NC(0.975,I35*SQRT(Matrix!C27),Matrix!C27-1)/SQRT(Matrix!C27)))</f>
        <v>-</v>
      </c>
      <c r="K35" s="73" t="str">
        <f t="array" ref="K35">IF(OR(ISBLANK(F6),ISBLANK(G6),ISBLANK(H6),ISBLANK(I6),ISBLANK(J6),ISBLANK(B35)), "-",
IF(AND(ABS(I35) &gt;0, ABS(I35)&lt; 0.043), NT_NCP(0.025,Matrix!C27-1,I35*SQRT(Matrix!C27),100,100)/SQRT(Matrix!C27), NCP_T_NC(0.025,I35*SQRT(Matrix!C27),Matrix!C27-1)/SQRT(Matrix!C27)))</f>
        <v>-</v>
      </c>
      <c r="L35" s="74" t="str">
        <f t="array" ref="L35">IF(OR(ISBLANK(F6),ISBLANK(G6),ISBLANK(H6),ISBLANK(I6),ISBLANK(J6),ISBLANK(B35)), "-",
IF(F35 &lt; 0, TDIST(ABS(F35), Matrix!C27-2, 1),1 - (TDIST(ABS(F35), Matrix!C27-2, 1))))</f>
        <v>-</v>
      </c>
      <c r="M35" s="65" t="str">
        <f t="array" ref="M35">IF(OR(ISBLANK(F6),ISBLANK(G6),ISBLANK(H6),ISBLANK(I6),ISBLANK(J6),ISBLANK(B35)), "-",
IF(F35&lt;0,
IF(AND(ABS(F35) &gt;0, ABS(F35)&lt; 0.043),
NORMSDIST(NT_NCP(0.975,Matrix!C27-1,F35*SQRT(Matrix!C27),100,100)/SQRT(Matrix!C27))*100,
NORMSDIST(NCP_T_NC(0.975,F35*SQRT(Matrix!C27),Matrix!C27-1)/SQRT(Matrix!C27))*100),
IF(AND(ABS(F35) &gt;0, ABS(F35)&lt; 0.043),
(NORMSDIST(NT_NCP(0.975,Matrix!C27-1,
F35*SQRT(Matrix!C27),100,100)/SQRT(Matrix!C27)))*100,
(NORMSDIST(NCP_T_NC(0.975,F35*SQRT(Matrix!C27),Matrix!C27-1)/SQRT(Matrix!C27)))*100)))</f>
        <v>-</v>
      </c>
      <c r="N35" s="66" t="str">
        <f t="array" ref="N35">IF(OR(ISBLANK(F6),ISBLANK(G6),ISBLANK(H6),ISBLANK(I6),ISBLANK(J6),ISBLANK(B35)), "-",
IF(F35&lt;0,
IF(AND(ABS(F35) &gt;0, ABS(F35)&lt; 0.043),
NORMSDIST(NT_NCP(0.025,Matrix!C27-1,F35*SQRT(Matrix!C27),100,100)/SQRT(Matrix!C27))*100,
NORMSDIST(NCP_T_NC(0.025,F35*SQRT(Matrix!C27),Matrix!C27-1)/SQRT(Matrix!C27))*100),
IF(AND(ABS(F35) &gt;0, ABS(F35)&lt; 0.043),
(NORMSDIST(NT_NCP(0.025,Matrix!C27-1,
F35*SQRT(Matrix!C27),100,100)/SQRT(Matrix!C27)))*100,
(NORMSDIST(NCP_T_NC(0.025,F35*SQRT(Matrix!C27),Matrix!C27-1)/SQRT(Matrix!C27)))*100)))</f>
        <v>-</v>
      </c>
      <c r="O35" s="40"/>
      <c r="P35" s="40"/>
      <c r="Q35" s="40"/>
      <c r="R35" s="40"/>
      <c r="X35" s="145"/>
      <c r="AE35" s="82"/>
      <c r="AF35" s="82"/>
    </row>
    <row r="36" spans="1:61" ht="25" customHeight="1">
      <c r="A36" s="84" t="s">
        <v>26</v>
      </c>
      <c r="B36" s="100"/>
      <c r="C36" s="97" t="str">
        <f t="array" ref="C36">IF(OR(ISBLANK(F6),ISBLANK(G6),ISBLANK(H6),ISBLANK(I6),ISBLANK(J6)), "-",
MMULT(X_SubCortGrayVol, B_SubCortGrayVol))</f>
        <v>-</v>
      </c>
      <c r="D36" s="95" t="str">
        <f t="array" ref="D36">IF(OR(ISBLANK(F6),ISBLANK(G6),ISBLANK(H6),ISBLANK(I6),ISBLANK(J6)), "-",
C36-t_subcortgrayvol*SQRT(MSE_subcortgrayvol*(1+MMULT(MMULT(X_SubCortGrayVol,M_SubCortGrayVol),TRANSPOSE(X_SubCortGrayVol)))))</f>
        <v>-</v>
      </c>
      <c r="E36" s="96" t="str">
        <f t="array" ref="E36">IF(OR(ISBLANK(F6),ISBLANK(G6),ISBLANK(H6),ISBLANK(I6),ISBLANK(J6)), "-",
C36+t_subcortgrayvol*SQRT(MSE_subcortgrayvol*(1+MMULT(MMULT(X_SubCortGrayVol,M_SubCortGrayVol),TRANSPOSE(X_SubCortGrayVol)))))</f>
        <v>-</v>
      </c>
      <c r="F36" s="123" t="str">
        <f t="array" ref="F36">IF(OR(ISBLANK(F6),ISBLANK(G6),ISBLANK(H6),ISBLANK(I6),ISBLANK(J6),ISBLANK(B36)), "-",
(B36-C36)/ SQRT(MSE_subcortgrayvol*(1+MMULT(MMULT(X_SubCortGrayVol,M_SubCortGrayVol),TRANSPOSE(X_SubCortGrayVol)))))</f>
        <v>-</v>
      </c>
      <c r="G36" s="98" t="str">
        <f t="array" ref="G36">IF(OR(ISBLANK(F6),ISBLANK(G6),ISBLANK(H6),ISBLANK(I6),ISBLANK(J6),ISBLANK(B36)), "-",
TDIST(ABS(F36), Matrix!C28-2, 1))</f>
        <v>-</v>
      </c>
      <c r="H36" s="124" t="str">
        <f t="array" ref="H36">IF(OR(ISBLANK(F$6),ISBLANK(G$6),ISBLANK(H$6),ISBLANK(I$6),ISBLANK(J$6),ISBLANK(B$11)), "-",
 INDEX(FDR,MATCH(A36,fdr_regions,0),0))</f>
        <v>-</v>
      </c>
      <c r="I36" s="90" t="str">
        <f t="array" ref="I36">IF(OR(ISBLANK(F6),ISBLANK(G6),ISBLANK(H6),ISBLANK(I6),ISBLANK(J6),ISBLANK(B36)), "-",
(B36-C36)/ SQRT(Matrix!D28))</f>
        <v>-</v>
      </c>
      <c r="J36" s="91" t="str">
        <f t="array" ref="J36">IF(OR(ISBLANK(F6),ISBLANK(G6),ISBLANK(H6),ISBLANK(I6),ISBLANK(J6),ISBLANK(B36)), "-",
IF(AND(ABS(I36) &gt;0, ABS(I36)&lt; 0.043), NT_NCP(0.975,Matrix!C28-1,I36*SQRT(Matrix!C28),100,100)/SQRT(Matrix!C28), NCP_T_NC(0.975,I36*SQRT(Matrix!C28),Matrix!C28-1)/SQRT(Matrix!C28)))</f>
        <v>-</v>
      </c>
      <c r="K36" s="92" t="str">
        <f t="array" ref="K36">IF(OR(ISBLANK(F6),ISBLANK(G6),ISBLANK(H6),ISBLANK(I6),ISBLANK(J6),ISBLANK(B36)), "-",
IF(AND(ABS(I36) &gt;0, ABS(I36)&lt; 0.043), NT_NCP(0.025,Matrix!C28-1,I36*SQRT(Matrix!C28),100,100)/SQRT(Matrix!C28), NCP_T_NC(0.025,I36*SQRT(Matrix!C28),Matrix!C28-1)/SQRT(Matrix!C28)))</f>
        <v>-</v>
      </c>
      <c r="L36" s="85" t="str">
        <f t="array" ref="L36">IF(OR(ISBLANK(F6),ISBLANK(G6),ISBLANK(H6),ISBLANK(I6),ISBLANK(J6),ISBLANK(B36)), "-",
IF(F36 &lt; 0, TDIST(ABS(F36), Matrix!C28-2, 1),1 - (TDIST(ABS(F36), Matrix!C28-2, 1))))</f>
        <v>-</v>
      </c>
      <c r="M36" s="93" t="str">
        <f t="array" ref="M36">IF(OR(ISBLANK(F6),ISBLANK(G6),ISBLANK(H6),ISBLANK(I6),ISBLANK(J6),ISBLANK(B36)), "-",
IF(F36&lt;0,
IF(AND(ABS(F36) &gt;0, ABS(F36)&lt; 0.043),
NORMSDIST(NT_NCP(0.975,Matrix!C28-1,F36*SQRT(Matrix!C28),100,100)/SQRT(Matrix!C28))*100,
NORMSDIST(NCP_T_NC(0.975,F36*SQRT(Matrix!C28),Matrix!C28-1)/SQRT(Matrix!C28))*100),
IF(AND(ABS(F36) &gt;0, ABS(F36)&lt; 0.043),
(NORMSDIST(NT_NCP(0.975,Matrix!C28-1,
F36*SQRT(Matrix!C28),100,100)/SQRT(Matrix!C28)))*100,
(NORMSDIST(NCP_T_NC(0.975,F36*SQRT(Matrix!C28),Matrix!C28-1)/SQRT(Matrix!C28)))*100)))</f>
        <v>-</v>
      </c>
      <c r="N36" s="94" t="str">
        <f t="array" ref="N36">IF(OR(ISBLANK(F6),ISBLANK(G6),ISBLANK(H6),ISBLANK(I6),ISBLANK(J6),ISBLANK(B36)), "-",
IF(F36&lt;0,
IF(AND(ABS(F36) &gt;0, ABS(F36)&lt; 0.043),
NORMSDIST(NT_NCP(0.025,Matrix!C28-1,F36*SQRT(Matrix!C28),100,100)/SQRT(Matrix!C28))*100,
NORMSDIST(NCP_T_NC(0.025,F36*SQRT(Matrix!C28),Matrix!C28-1)/SQRT(Matrix!C28))*100),
IF(AND(ABS(F36) &gt;0, ABS(F36)&lt; 0.043),
(NORMSDIST(NT_NCP(0.025,Matrix!C28-1,
F36*SQRT(Matrix!C28),100,100)/SQRT(Matrix!C28)))*100,
(NORMSDIST(NCP_T_NC(0.025,F36*SQRT(Matrix!C28),Matrix!C28-1)/SQRT(Matrix!C28)))*100)))</f>
        <v>-</v>
      </c>
      <c r="O36" s="40"/>
      <c r="P36" s="40"/>
      <c r="Q36" s="40"/>
      <c r="R36" s="40"/>
      <c r="X36" s="145"/>
      <c r="AE36" s="82"/>
      <c r="AF36" s="82"/>
    </row>
    <row r="37" spans="1:61" ht="16" customHeight="1">
      <c r="A37" s="194" t="s">
        <v>130</v>
      </c>
      <c r="B37" s="194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  <c r="O37" s="40"/>
      <c r="P37" s="40"/>
      <c r="Q37" s="40"/>
      <c r="R37" s="40"/>
      <c r="X37" s="145"/>
      <c r="AE37" s="82"/>
      <c r="AF37" s="82"/>
    </row>
    <row r="38" spans="1:61" ht="18" customHeight="1">
      <c r="A38" s="195"/>
      <c r="B38" s="195"/>
      <c r="C38" s="195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  <c r="O38" s="40"/>
      <c r="P38" s="40"/>
      <c r="Q38" s="40"/>
      <c r="R38" s="40"/>
      <c r="AE38" s="82"/>
      <c r="AF38" s="82"/>
    </row>
    <row r="39" spans="1:61" ht="18" customHeight="1">
      <c r="A39" s="195"/>
      <c r="B39" s="195"/>
      <c r="C39" s="195"/>
      <c r="D39" s="195"/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40"/>
      <c r="P39" s="40"/>
      <c r="Q39" s="40"/>
      <c r="R39" s="40"/>
      <c r="AE39" s="82"/>
      <c r="AF39" s="82"/>
    </row>
    <row r="40" spans="1:61" ht="18" customHeight="1">
      <c r="A40" s="195"/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40"/>
      <c r="P40" s="40"/>
      <c r="Q40" s="40"/>
      <c r="R40" s="40"/>
      <c r="AE40" s="82"/>
      <c r="AF40" s="82"/>
    </row>
    <row r="41" spans="1:61">
      <c r="A41" s="195"/>
      <c r="B41" s="195"/>
      <c r="C41" s="195"/>
      <c r="D41" s="195"/>
      <c r="E41" s="195"/>
      <c r="F41" s="195"/>
      <c r="G41" s="195"/>
      <c r="H41" s="195"/>
      <c r="I41" s="195"/>
      <c r="J41" s="195"/>
      <c r="K41" s="195"/>
      <c r="L41" s="195"/>
      <c r="M41" s="195"/>
      <c r="N41" s="195"/>
      <c r="O41" s="40"/>
      <c r="P41" s="40"/>
      <c r="Q41" s="40"/>
      <c r="R41" s="40"/>
      <c r="AF41" s="82"/>
      <c r="AG41" s="82"/>
    </row>
    <row r="42" spans="1:61">
      <c r="A42" s="195"/>
      <c r="B42" s="195"/>
      <c r="C42" s="195"/>
      <c r="D42" s="195"/>
      <c r="E42" s="195"/>
      <c r="F42" s="195"/>
      <c r="G42" s="195"/>
      <c r="H42" s="195"/>
      <c r="I42" s="195"/>
      <c r="J42" s="195"/>
      <c r="K42" s="195"/>
      <c r="L42" s="195"/>
      <c r="M42" s="195"/>
      <c r="N42" s="195"/>
      <c r="O42" s="40"/>
      <c r="P42" s="40"/>
      <c r="Q42" s="40"/>
      <c r="R42" s="40"/>
      <c r="AF42" s="82"/>
      <c r="AG42" s="82"/>
    </row>
    <row r="43" spans="1:61">
      <c r="A43" s="195"/>
      <c r="B43" s="195"/>
      <c r="C43" s="195"/>
      <c r="D43" s="195"/>
      <c r="E43" s="195"/>
      <c r="F43" s="195"/>
      <c r="G43" s="195"/>
      <c r="H43" s="195"/>
      <c r="I43" s="195"/>
      <c r="J43" s="195"/>
      <c r="K43" s="195"/>
      <c r="L43" s="195"/>
      <c r="M43" s="195"/>
      <c r="N43" s="195"/>
      <c r="O43" s="40"/>
      <c r="P43" s="40"/>
      <c r="Q43" s="40"/>
      <c r="R43" s="40"/>
      <c r="AF43" s="82"/>
      <c r="AG43" s="82"/>
    </row>
    <row r="44" spans="1:61">
      <c r="A44" s="142"/>
      <c r="B44" s="142"/>
      <c r="C44" s="142"/>
      <c r="D44" s="142"/>
      <c r="E44" s="142"/>
      <c r="F44" s="142"/>
      <c r="G44" s="142"/>
      <c r="H44" s="142"/>
      <c r="I44" s="142"/>
      <c r="J44" s="142"/>
      <c r="K44" s="142"/>
      <c r="L44" s="142"/>
      <c r="M44" s="142"/>
      <c r="N44" s="142"/>
      <c r="O44" s="40"/>
      <c r="P44" s="40"/>
      <c r="Q44" s="40"/>
      <c r="R44" s="40"/>
      <c r="AF44" s="86"/>
      <c r="AG44" s="86"/>
      <c r="AH44" s="86"/>
      <c r="AI44" s="86"/>
      <c r="AJ44" s="86"/>
      <c r="AK44" s="86"/>
      <c r="AL44" s="86"/>
      <c r="AM44" s="86"/>
      <c r="AN44" s="86"/>
      <c r="AO44" s="86"/>
      <c r="AP44" s="86"/>
      <c r="AQ44" s="86"/>
      <c r="AR44" s="86"/>
      <c r="AS44" s="86"/>
      <c r="AT44" s="86"/>
      <c r="AU44" s="86"/>
      <c r="AV44" s="86"/>
      <c r="AW44" s="86"/>
      <c r="AX44" s="86"/>
      <c r="AY44" s="86"/>
      <c r="AZ44" s="86"/>
      <c r="BA44" s="86"/>
      <c r="BB44" s="86"/>
      <c r="BC44" s="86"/>
      <c r="BD44" s="86"/>
      <c r="BE44" s="86"/>
      <c r="BF44" s="86"/>
      <c r="BG44" s="86"/>
      <c r="BH44" s="86"/>
      <c r="BI44" s="86"/>
    </row>
    <row r="46" spans="1:61" ht="18">
      <c r="C46" s="87"/>
      <c r="D46" s="87"/>
      <c r="E46" s="87"/>
    </row>
    <row r="49" spans="1:15">
      <c r="F49" s="88"/>
      <c r="G49" s="88"/>
      <c r="H49" s="88"/>
      <c r="I49" s="88"/>
      <c r="J49" s="88"/>
      <c r="K49" s="88"/>
      <c r="L49" s="88"/>
      <c r="M49" s="88"/>
      <c r="N49" s="88"/>
      <c r="O49" s="88"/>
    </row>
    <row r="50" spans="1:15"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  <c r="O50" s="88"/>
    </row>
    <row r="51" spans="1:15">
      <c r="A51" s="89"/>
      <c r="B51" s="89"/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</row>
    <row r="52" spans="1:15">
      <c r="A52" s="89"/>
      <c r="B52" s="89"/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</row>
    <row r="53" spans="1:15">
      <c r="A53" s="89"/>
      <c r="B53" s="89"/>
      <c r="C53" s="88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</row>
    <row r="54" spans="1:15">
      <c r="A54" s="89"/>
      <c r="B54" s="89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</row>
    <row r="55" spans="1:15">
      <c r="A55" s="89"/>
      <c r="B55" s="89"/>
      <c r="C55" s="88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</row>
    <row r="56" spans="1:15">
      <c r="A56" s="88"/>
      <c r="B56" s="88"/>
      <c r="C56" s="88"/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</row>
  </sheetData>
  <sheetProtection sheet="1" objects="1" scenarios="1"/>
  <mergeCells count="12">
    <mergeCell ref="A37:N43"/>
    <mergeCell ref="M10:N10"/>
    <mergeCell ref="J10:K10"/>
    <mergeCell ref="I9:K9"/>
    <mergeCell ref="F9:H9"/>
    <mergeCell ref="A8:N8"/>
    <mergeCell ref="D10:E10"/>
    <mergeCell ref="C9:E9"/>
    <mergeCell ref="L9:N9"/>
    <mergeCell ref="A3:D4"/>
    <mergeCell ref="A5:D6"/>
    <mergeCell ref="F3:J3"/>
  </mergeCells>
  <phoneticPr fontId="14" type="noConversion"/>
  <conditionalFormatting sqref="F6:J6">
    <cfRule type="containsBlanks" dxfId="3" priority="18">
      <formula>LEN(TRIM(F6))=0</formula>
    </cfRule>
  </conditionalFormatting>
  <conditionalFormatting sqref="H11:H36">
    <cfRule type="containsText" dxfId="2" priority="2" operator="containsText" text="~*">
      <formula>NOT(ISERROR(SEARCH("~*",H11)))</formula>
    </cfRule>
  </conditionalFormatting>
  <conditionalFormatting sqref="G11:G36">
    <cfRule type="cellIs" dxfId="1" priority="3" operator="lessThan">
      <formula>0.05</formula>
    </cfRule>
  </conditionalFormatting>
  <conditionalFormatting sqref="B11:B36">
    <cfRule type="containsBlanks" dxfId="0" priority="1">
      <formula>LEN(TRIM(B11))=0</formula>
    </cfRule>
  </conditionalFormatting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Button1_Click">
                <anchor moveWithCells="1" sizeWithCells="1">
                  <from>
                    <xdr:col>10</xdr:col>
                    <xdr:colOff>381000</xdr:colOff>
                    <xdr:row>2</xdr:row>
                    <xdr:rowOff>279400</xdr:rowOff>
                  </from>
                  <to>
                    <xdr:col>13</xdr:col>
                    <xdr:colOff>901700</xdr:colOff>
                    <xdr:row>4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4" name="Button 3">
              <controlPr defaultSize="0" autoFill="0" autoPict="0" macro="[0]!Sheet1.Button3_Click">
                <anchor moveWithCells="1" sizeWithCells="1">
                  <from>
                    <xdr:col>11</xdr:col>
                    <xdr:colOff>762000</xdr:colOff>
                    <xdr:row>4</xdr:row>
                    <xdr:rowOff>596900</xdr:rowOff>
                  </from>
                  <to>
                    <xdr:col>12</xdr:col>
                    <xdr:colOff>444500</xdr:colOff>
                    <xdr:row>5</xdr:row>
                    <xdr:rowOff>444500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U474"/>
  <sheetViews>
    <sheetView workbookViewId="0">
      <pane ySplit="2" topLeftCell="A3" activePane="bottomLeft" state="frozen"/>
      <selection pane="bottomLeft" activeCell="F11" sqref="F11"/>
    </sheetView>
  </sheetViews>
  <sheetFormatPr baseColWidth="10" defaultColWidth="10.83203125" defaultRowHeight="15" x14ac:dyDescent="0"/>
  <cols>
    <col min="1" max="1" width="24.83203125" style="164" customWidth="1"/>
    <col min="2" max="8" width="13.6640625" style="170" customWidth="1"/>
    <col min="9" max="9" width="15.1640625" style="170" customWidth="1"/>
    <col min="10" max="10" width="13.6640625" style="170" customWidth="1"/>
    <col min="11" max="11" width="14" style="170" customWidth="1"/>
    <col min="12" max="12" width="17.83203125" style="170" customWidth="1"/>
    <col min="13" max="13" width="17.83203125" style="149" customWidth="1"/>
    <col min="14" max="14" width="16.5" style="149" customWidth="1"/>
    <col min="15" max="15" width="18.5" style="149" customWidth="1"/>
    <col min="16" max="16" width="18.83203125" style="149" customWidth="1"/>
    <col min="17" max="17" width="16.83203125" style="149" customWidth="1"/>
    <col min="18" max="18" width="19.33203125" style="149" customWidth="1"/>
    <col min="19" max="19" width="15" style="149" customWidth="1"/>
    <col min="20" max="20" width="17" style="149" customWidth="1"/>
    <col min="21" max="22" width="14.6640625" style="149" customWidth="1"/>
    <col min="23" max="23" width="11.1640625" style="149" customWidth="1"/>
    <col min="24" max="24" width="11.83203125" style="149" customWidth="1"/>
    <col min="25" max="16384" width="10.83203125" style="149"/>
  </cols>
  <sheetData>
    <row r="1" spans="1:21">
      <c r="A1" s="197" t="s">
        <v>63</v>
      </c>
      <c r="B1" s="196" t="s">
        <v>32</v>
      </c>
      <c r="C1" s="197" t="s">
        <v>41</v>
      </c>
      <c r="D1" s="197" t="s">
        <v>56</v>
      </c>
      <c r="E1" s="17" t="s">
        <v>42</v>
      </c>
      <c r="F1" s="17" t="s">
        <v>53</v>
      </c>
      <c r="G1" s="17" t="s">
        <v>54</v>
      </c>
      <c r="H1" s="18" t="s">
        <v>55</v>
      </c>
      <c r="I1" s="17" t="s">
        <v>0</v>
      </c>
      <c r="J1" s="17" t="s">
        <v>46</v>
      </c>
      <c r="K1" s="17" t="s">
        <v>47</v>
      </c>
      <c r="L1" s="17" t="s">
        <v>48</v>
      </c>
      <c r="M1" s="17" t="s">
        <v>92</v>
      </c>
      <c r="N1" s="17" t="s">
        <v>1</v>
      </c>
      <c r="O1" s="17" t="s">
        <v>2</v>
      </c>
      <c r="P1" s="19" t="s">
        <v>3</v>
      </c>
      <c r="Q1" s="19" t="s">
        <v>4</v>
      </c>
      <c r="R1" s="19" t="s">
        <v>49</v>
      </c>
      <c r="S1" s="19" t="s">
        <v>50</v>
      </c>
      <c r="T1" s="19" t="s">
        <v>51</v>
      </c>
      <c r="U1" s="19" t="s">
        <v>52</v>
      </c>
    </row>
    <row r="2" spans="1:21">
      <c r="A2" s="197"/>
      <c r="B2" s="196"/>
      <c r="C2" s="197"/>
      <c r="D2" s="197"/>
      <c r="E2" s="20">
        <v>1</v>
      </c>
      <c r="F2" s="148">
        <f>Statistics!F6- 47.5634617</f>
        <v>-47.563461699999998</v>
      </c>
      <c r="G2" s="148">
        <f>F2*F2</f>
        <v>2262.2828888873669</v>
      </c>
      <c r="H2" s="148">
        <f>F2*F2*F2</f>
        <v>-107602.00554015962</v>
      </c>
      <c r="I2" s="148">
        <f>Statistics!G6</f>
        <v>0</v>
      </c>
      <c r="J2" s="17">
        <f>Statistics!J6-1521907.28</f>
        <v>-1521907.28</v>
      </c>
      <c r="K2" s="17">
        <f>J2*J2</f>
        <v>2316201768916.9985</v>
      </c>
      <c r="L2" s="17">
        <f>J2*J2*J2</f>
        <v>-3.525044334063658E+18</v>
      </c>
      <c r="M2" s="148">
        <f>Statistics!H6</f>
        <v>0</v>
      </c>
      <c r="N2" s="148">
        <f>IF(Statistics!I6=1,1,0)</f>
        <v>0</v>
      </c>
      <c r="O2" s="148">
        <f>IF(Statistics!I6=2,1,0)</f>
        <v>0</v>
      </c>
      <c r="P2" s="148">
        <f>N2*M2</f>
        <v>0</v>
      </c>
      <c r="Q2" s="148">
        <f>O2*M2</f>
        <v>0</v>
      </c>
      <c r="R2" s="17">
        <f>J2*M2</f>
        <v>0</v>
      </c>
      <c r="S2" s="148">
        <f>F2*I2</f>
        <v>0</v>
      </c>
      <c r="T2" s="17">
        <f>J2*N2</f>
        <v>0</v>
      </c>
      <c r="U2" s="17">
        <f>J2*O2</f>
        <v>0</v>
      </c>
    </row>
    <row r="3" spans="1:21">
      <c r="A3" s="150" t="s">
        <v>96</v>
      </c>
      <c r="B3" s="151">
        <f>TINV(0.05, C3-11)</f>
        <v>1.9608670840875055</v>
      </c>
      <c r="C3" s="152">
        <v>2639</v>
      </c>
      <c r="D3" s="153">
        <v>16684.62</v>
      </c>
      <c r="E3" s="154"/>
      <c r="F3" s="155"/>
      <c r="G3" s="3"/>
      <c r="H3" s="1"/>
      <c r="I3" s="4"/>
      <c r="J3" s="4"/>
      <c r="K3" s="4"/>
      <c r="L3" s="1"/>
      <c r="M3" s="2"/>
      <c r="N3" s="2"/>
      <c r="O3" s="2"/>
      <c r="P3" s="2"/>
      <c r="Q3" s="2"/>
      <c r="R3" s="3"/>
      <c r="S3" s="4"/>
      <c r="T3" s="3"/>
      <c r="U3" s="3"/>
    </row>
    <row r="4" spans="1:21">
      <c r="A4" s="146" t="s">
        <v>99</v>
      </c>
      <c r="B4" s="151">
        <f>TINV(0.05, C4-11)</f>
        <v>1.9608667404174893</v>
      </c>
      <c r="C4" s="152">
        <v>2640</v>
      </c>
      <c r="D4" s="153">
        <v>12950.32</v>
      </c>
      <c r="E4" s="5"/>
      <c r="F4" s="11"/>
      <c r="G4" s="12"/>
      <c r="H4" s="6"/>
      <c r="I4" s="7"/>
      <c r="J4" s="7"/>
      <c r="K4" s="8"/>
      <c r="L4" s="6"/>
      <c r="M4" s="6"/>
      <c r="N4" s="6"/>
      <c r="O4" s="8"/>
      <c r="P4" s="7"/>
      <c r="Q4" s="7"/>
      <c r="R4" s="6"/>
      <c r="S4" s="7"/>
      <c r="T4" s="6"/>
      <c r="U4" s="6"/>
    </row>
    <row r="5" spans="1:21">
      <c r="A5" s="146" t="s">
        <v>100</v>
      </c>
      <c r="B5" s="151">
        <f t="shared" ref="B5:B28" si="0">TINV(0.05, C5-11)</f>
        <v>1.9608743620881262</v>
      </c>
      <c r="C5" s="152">
        <v>2618</v>
      </c>
      <c r="D5" s="153">
        <v>37009</v>
      </c>
      <c r="E5" s="9" t="str">
        <f>IF(E6="B0",$E$2,
IF(E6="agec",$F$2,
IF(E6="agec2",$G$2,
IF(E6="agec3",$H$2,
IF(E6="sexq",$I$2,
IF(E6="tivc",$J$2,
IF(E6="tivc2",$K$2,
IF(E6="tivc3",$L$2,
IF(E6="MFSq",$M$2,
IF(E6="GE",$N$2,
IF(E6="Philips",$O$2,
IF(E6="GE_X_MFSq",$P$2,
IF(E6="Philips_X_MFSq",$Q$2,
IF(E6="tivc_X_MFSq",$R$2,
IF(E6="agec_X_sexq",$S$2,
IF(E6="tivc_X_GE",$T$2,
IF(E6="tivc_X_Philips",$U$2, "Error"
)))))))))))))))))</f>
        <v>Error</v>
      </c>
      <c r="F5" s="2"/>
      <c r="G5" s="2"/>
      <c r="H5" s="10"/>
      <c r="I5" s="2"/>
      <c r="J5" s="2"/>
      <c r="K5" s="2"/>
      <c r="L5" s="1"/>
      <c r="M5" s="2"/>
      <c r="N5" s="2"/>
      <c r="O5" s="1"/>
      <c r="P5" s="2"/>
      <c r="Q5" s="1"/>
      <c r="R5" s="1"/>
      <c r="S5" s="10"/>
      <c r="T5" s="1"/>
      <c r="U5" s="2"/>
    </row>
    <row r="6" spans="1:21">
      <c r="A6" s="146" t="s">
        <v>103</v>
      </c>
      <c r="B6" s="151">
        <f t="shared" si="0"/>
        <v>1.9608747115867204</v>
      </c>
      <c r="C6" s="152">
        <v>2617</v>
      </c>
      <c r="D6" s="153">
        <v>45842.400000000001</v>
      </c>
      <c r="E6" s="9"/>
      <c r="F6" s="10"/>
      <c r="G6" s="2"/>
      <c r="H6" s="10"/>
      <c r="I6" s="2"/>
      <c r="J6" s="2"/>
      <c r="K6" s="10"/>
      <c r="L6" s="10"/>
      <c r="M6" s="2"/>
      <c r="N6" s="2"/>
      <c r="O6" s="1"/>
      <c r="P6" s="1"/>
      <c r="Q6" s="1"/>
      <c r="R6" s="3"/>
      <c r="S6" s="1"/>
      <c r="T6" s="1"/>
      <c r="U6" s="1"/>
    </row>
    <row r="7" spans="1:21">
      <c r="A7" s="146" t="s">
        <v>104</v>
      </c>
      <c r="B7" s="151">
        <f t="shared" si="0"/>
        <v>1.9608691516147136</v>
      </c>
      <c r="C7" s="152">
        <v>2633</v>
      </c>
      <c r="D7" s="153">
        <v>3411250</v>
      </c>
      <c r="E7" s="9"/>
      <c r="F7" s="2"/>
      <c r="G7" s="2"/>
      <c r="H7" s="1"/>
      <c r="I7" s="2"/>
      <c r="J7" s="2"/>
      <c r="K7" s="2"/>
      <c r="L7" s="10"/>
      <c r="M7" s="1"/>
      <c r="N7" s="2"/>
      <c r="O7" s="1"/>
      <c r="P7" s="11"/>
      <c r="Q7" s="12"/>
      <c r="R7" s="3"/>
      <c r="S7" s="11"/>
      <c r="T7" s="1"/>
      <c r="U7" s="1"/>
    </row>
    <row r="8" spans="1:21">
      <c r="A8" s="146" t="s">
        <v>105</v>
      </c>
      <c r="B8" s="151">
        <f t="shared" si="0"/>
        <v>1.9608667404174893</v>
      </c>
      <c r="C8" s="152">
        <v>2640</v>
      </c>
      <c r="D8" s="153">
        <v>182638.9</v>
      </c>
      <c r="E8" s="9"/>
      <c r="F8" s="2"/>
      <c r="G8" s="2"/>
      <c r="H8" s="10"/>
      <c r="I8" s="1"/>
      <c r="J8" s="2"/>
      <c r="K8" s="2"/>
      <c r="L8" s="10"/>
      <c r="M8" s="1"/>
      <c r="N8" s="1"/>
      <c r="O8" s="2"/>
      <c r="P8" s="1"/>
      <c r="Q8" s="1"/>
      <c r="R8" s="3"/>
      <c r="S8" s="11"/>
      <c r="T8" s="1"/>
      <c r="U8" s="1"/>
    </row>
    <row r="9" spans="1:21">
      <c r="A9" s="146" t="s">
        <v>106</v>
      </c>
      <c r="B9" s="151">
        <f t="shared" si="0"/>
        <v>1.9608670840875055</v>
      </c>
      <c r="C9" s="152">
        <v>2639</v>
      </c>
      <c r="D9" s="153">
        <v>220354.8</v>
      </c>
      <c r="E9" s="9"/>
      <c r="F9" s="2"/>
      <c r="G9" s="2"/>
      <c r="H9" s="1"/>
      <c r="I9" s="1"/>
      <c r="J9" s="2"/>
      <c r="K9" s="10"/>
      <c r="L9" s="10"/>
      <c r="M9" s="2"/>
      <c r="N9" s="2"/>
      <c r="O9" s="2"/>
      <c r="P9" s="2"/>
      <c r="Q9" s="2"/>
      <c r="R9" s="10"/>
      <c r="S9" s="2"/>
      <c r="T9" s="1"/>
      <c r="U9" s="1"/>
    </row>
    <row r="10" spans="1:21">
      <c r="A10" s="146" t="s">
        <v>108</v>
      </c>
      <c r="B10" s="151">
        <f t="shared" si="0"/>
        <v>1.9608856807465724</v>
      </c>
      <c r="C10" s="152">
        <v>2586</v>
      </c>
      <c r="D10" s="153">
        <v>146362.20000000001</v>
      </c>
      <c r="E10" s="9"/>
      <c r="F10" s="2"/>
      <c r="G10" s="2"/>
      <c r="H10" s="2"/>
      <c r="I10" s="1"/>
      <c r="J10" s="2"/>
      <c r="K10" s="2"/>
      <c r="L10" s="3"/>
      <c r="M10" s="2"/>
      <c r="N10" s="2"/>
      <c r="O10" s="2"/>
      <c r="P10" s="2"/>
      <c r="Q10" s="1"/>
      <c r="R10" s="3"/>
      <c r="S10" s="3"/>
      <c r="T10" s="3"/>
      <c r="U10" s="3"/>
    </row>
    <row r="11" spans="1:21">
      <c r="A11" s="146" t="s">
        <v>109</v>
      </c>
      <c r="B11" s="151">
        <f t="shared" si="0"/>
        <v>1.9608782213884681</v>
      </c>
      <c r="C11" s="152">
        <v>2607</v>
      </c>
      <c r="D11" s="153">
        <v>143403.6</v>
      </c>
      <c r="E11" s="9"/>
      <c r="F11" s="2"/>
      <c r="G11" s="2"/>
      <c r="H11" s="2"/>
      <c r="I11" s="3"/>
      <c r="J11" s="2"/>
      <c r="K11" s="1"/>
      <c r="L11" s="10"/>
      <c r="M11" s="2"/>
      <c r="N11" s="2"/>
      <c r="O11" s="1"/>
      <c r="P11" s="2"/>
      <c r="Q11" s="1"/>
      <c r="R11" s="3"/>
      <c r="S11" s="3"/>
      <c r="T11" s="3"/>
      <c r="U11" s="3"/>
    </row>
    <row r="12" spans="1:21">
      <c r="A12" s="146" t="s">
        <v>110</v>
      </c>
      <c r="B12" s="151">
        <f t="shared" si="0"/>
        <v>1.9608663970089835</v>
      </c>
      <c r="C12" s="152">
        <v>2641</v>
      </c>
      <c r="D12" s="153">
        <v>54182</v>
      </c>
      <c r="E12" s="154"/>
      <c r="F12" s="156"/>
      <c r="G12" s="4"/>
      <c r="H12" s="10"/>
      <c r="I12" s="4"/>
      <c r="J12" s="4"/>
      <c r="K12" s="4"/>
      <c r="L12" s="1"/>
      <c r="M12" s="2"/>
      <c r="N12" s="2"/>
      <c r="O12" s="1"/>
      <c r="P12" s="1"/>
      <c r="Q12" s="2"/>
      <c r="R12" s="3"/>
      <c r="S12" s="4"/>
      <c r="T12" s="3"/>
      <c r="U12" s="3"/>
    </row>
    <row r="13" spans="1:21">
      <c r="A13" s="146" t="s">
        <v>111</v>
      </c>
      <c r="B13" s="151">
        <f t="shared" si="0"/>
        <v>1.9608681166690549</v>
      </c>
      <c r="C13" s="152">
        <v>2636</v>
      </c>
      <c r="D13" s="153">
        <v>40067.1</v>
      </c>
      <c r="E13" s="157"/>
      <c r="F13" s="2"/>
      <c r="G13" s="1"/>
      <c r="H13" s="1"/>
      <c r="I13" s="4"/>
      <c r="J13" s="2"/>
      <c r="K13" s="2"/>
      <c r="L13" s="1"/>
      <c r="M13" s="2"/>
      <c r="N13" s="2"/>
      <c r="O13" s="2"/>
      <c r="P13" s="1"/>
      <c r="Q13" s="1"/>
      <c r="R13" s="12"/>
      <c r="S13" s="11"/>
      <c r="T13" s="3"/>
      <c r="U13" s="3"/>
    </row>
    <row r="14" spans="1:21">
      <c r="A14" s="146" t="s">
        <v>112</v>
      </c>
      <c r="B14" s="151">
        <f t="shared" si="0"/>
        <v>1.9608677722130035</v>
      </c>
      <c r="C14" s="152">
        <v>2637</v>
      </c>
      <c r="D14" s="153">
        <v>440491</v>
      </c>
      <c r="E14" s="13"/>
      <c r="F14" s="11"/>
      <c r="G14" s="11"/>
      <c r="H14" s="12"/>
      <c r="I14" s="11"/>
      <c r="J14" s="11"/>
      <c r="K14" s="11"/>
      <c r="L14" s="14"/>
      <c r="M14" s="12"/>
      <c r="N14" s="11"/>
      <c r="O14" s="11"/>
      <c r="P14" s="1"/>
      <c r="Q14" s="2"/>
      <c r="R14" s="10"/>
      <c r="S14" s="2"/>
      <c r="T14" s="3"/>
      <c r="U14" s="3"/>
    </row>
    <row r="15" spans="1:21">
      <c r="A15" s="146" t="s">
        <v>113</v>
      </c>
      <c r="B15" s="151">
        <f t="shared" si="0"/>
        <v>1.9608670840875055</v>
      </c>
      <c r="C15" s="152">
        <v>2639</v>
      </c>
      <c r="D15" s="153">
        <v>365460</v>
      </c>
      <c r="E15" s="9"/>
      <c r="F15" s="2"/>
      <c r="G15" s="2"/>
      <c r="H15" s="1"/>
      <c r="I15" s="2"/>
      <c r="J15" s="2"/>
      <c r="K15" s="2"/>
      <c r="L15" s="1"/>
      <c r="M15" s="2"/>
      <c r="N15" s="2"/>
      <c r="O15" s="10"/>
      <c r="P15" s="1"/>
      <c r="Q15" s="2"/>
      <c r="R15" s="1"/>
      <c r="S15" s="2"/>
      <c r="T15" s="3"/>
      <c r="U15" s="3"/>
    </row>
    <row r="16" spans="1:21">
      <c r="A16" s="146" t="s">
        <v>114</v>
      </c>
      <c r="B16" s="151">
        <f t="shared" si="0"/>
        <v>1.9608694971234335</v>
      </c>
      <c r="C16" s="152">
        <v>2632</v>
      </c>
      <c r="D16" s="153">
        <v>586152</v>
      </c>
      <c r="E16" s="9"/>
      <c r="F16" s="2"/>
      <c r="G16" s="2"/>
      <c r="H16" s="2"/>
      <c r="I16" s="2"/>
      <c r="J16" s="2"/>
      <c r="K16" s="2"/>
      <c r="L16" s="3"/>
      <c r="M16" s="2"/>
      <c r="N16" s="2"/>
      <c r="O16" s="1"/>
      <c r="P16" s="1"/>
      <c r="Q16" s="2"/>
      <c r="R16" s="2"/>
      <c r="S16" s="2"/>
      <c r="T16" s="3"/>
      <c r="U16" s="3"/>
    </row>
    <row r="17" spans="1:21">
      <c r="A17" s="146" t="s">
        <v>115</v>
      </c>
      <c r="B17" s="151">
        <f t="shared" si="0"/>
        <v>1.9608701889325411</v>
      </c>
      <c r="C17" s="152">
        <v>2630</v>
      </c>
      <c r="D17" s="153">
        <v>337534</v>
      </c>
      <c r="E17" s="9"/>
      <c r="F17" s="2"/>
      <c r="G17" s="2"/>
      <c r="H17" s="10"/>
      <c r="I17" s="2"/>
      <c r="J17" s="2"/>
      <c r="K17" s="2"/>
      <c r="L17" s="3"/>
      <c r="M17" s="1"/>
      <c r="N17" s="1"/>
      <c r="O17" s="2"/>
      <c r="P17" s="2"/>
      <c r="Q17" s="1"/>
      <c r="R17" s="2"/>
      <c r="S17" s="2"/>
      <c r="T17" s="1"/>
      <c r="U17" s="2"/>
    </row>
    <row r="18" spans="1:21">
      <c r="A18" s="146" t="s">
        <v>116</v>
      </c>
      <c r="B18" s="151">
        <f t="shared" si="0"/>
        <v>1.9608684613880503</v>
      </c>
      <c r="C18" s="152">
        <v>2635</v>
      </c>
      <c r="D18" s="153">
        <v>111883.4</v>
      </c>
      <c r="E18" s="9"/>
      <c r="F18" s="2"/>
      <c r="G18" s="2"/>
      <c r="H18" s="10"/>
      <c r="I18" s="2"/>
      <c r="J18" s="2"/>
      <c r="K18" s="2"/>
      <c r="L18" s="10"/>
      <c r="M18" s="2"/>
      <c r="N18" s="10"/>
      <c r="O18" s="2"/>
      <c r="P18" s="3"/>
      <c r="Q18" s="3"/>
      <c r="R18" s="3"/>
      <c r="S18" s="2"/>
      <c r="T18" s="3"/>
      <c r="U18" s="3"/>
    </row>
    <row r="19" spans="1:21">
      <c r="A19" s="146" t="s">
        <v>117</v>
      </c>
      <c r="B19" s="151">
        <f t="shared" si="0"/>
        <v>1.9608691516147136</v>
      </c>
      <c r="C19" s="152">
        <v>2633</v>
      </c>
      <c r="D19" s="153">
        <v>103606.9</v>
      </c>
      <c r="E19" s="9"/>
      <c r="F19" s="2"/>
      <c r="G19" s="2"/>
      <c r="H19" s="1"/>
      <c r="I19" s="2"/>
      <c r="J19" s="2"/>
      <c r="K19" s="2"/>
      <c r="L19" s="2"/>
      <c r="M19" s="2"/>
      <c r="N19" s="2"/>
      <c r="O19" s="1"/>
      <c r="P19" s="3"/>
      <c r="Q19" s="3"/>
      <c r="R19" s="3"/>
      <c r="S19" s="2"/>
      <c r="T19" s="3"/>
      <c r="U19" s="3"/>
    </row>
    <row r="20" spans="1:21">
      <c r="A20" s="146" t="s">
        <v>118</v>
      </c>
      <c r="B20" s="151">
        <f t="shared" si="0"/>
        <v>1.9608701889325411</v>
      </c>
      <c r="C20" s="152">
        <v>2630</v>
      </c>
      <c r="D20" s="158">
        <v>2.5432400000000001E-2</v>
      </c>
      <c r="E20" s="15"/>
      <c r="F20" s="2"/>
      <c r="G20" s="2"/>
      <c r="H20" s="1"/>
      <c r="I20" s="1"/>
      <c r="J20" s="2"/>
      <c r="K20" s="3"/>
      <c r="L20" s="3"/>
      <c r="M20" s="1"/>
      <c r="N20" s="1"/>
      <c r="O20" s="2"/>
      <c r="P20" s="3"/>
      <c r="Q20" s="3"/>
      <c r="R20" s="2"/>
      <c r="S20" s="2"/>
      <c r="T20" s="1"/>
      <c r="U20" s="2"/>
    </row>
    <row r="21" spans="1:21">
      <c r="A21" s="146" t="s">
        <v>119</v>
      </c>
      <c r="B21" s="151">
        <f t="shared" si="0"/>
        <v>1.9608681166690549</v>
      </c>
      <c r="C21" s="152">
        <v>2636</v>
      </c>
      <c r="D21" s="158">
        <v>3.6512799999999998E-2</v>
      </c>
      <c r="E21" s="15"/>
      <c r="F21" s="2"/>
      <c r="G21" s="2"/>
      <c r="H21" s="1"/>
      <c r="I21" s="1"/>
      <c r="J21" s="2"/>
      <c r="K21" s="16"/>
      <c r="L21" s="3"/>
      <c r="M21" s="1"/>
      <c r="N21" s="1"/>
      <c r="O21" s="2"/>
      <c r="P21" s="3"/>
      <c r="Q21" s="3"/>
      <c r="R21" s="10"/>
      <c r="S21" s="2"/>
      <c r="T21" s="1"/>
      <c r="U21" s="1"/>
    </row>
    <row r="22" spans="1:21">
      <c r="A22" s="146" t="s">
        <v>120</v>
      </c>
      <c r="B22" s="151">
        <f t="shared" si="0"/>
        <v>1.9608667404174893</v>
      </c>
      <c r="C22" s="152">
        <v>2640</v>
      </c>
      <c r="D22" s="158">
        <v>3.7032599999999999E-2</v>
      </c>
      <c r="E22" s="15"/>
      <c r="F22" s="2"/>
      <c r="G22" s="11"/>
      <c r="H22" s="1"/>
      <c r="I22" s="1"/>
      <c r="J22" s="2"/>
      <c r="K22" s="3"/>
      <c r="L22" s="3"/>
      <c r="M22" s="10"/>
      <c r="N22" s="1"/>
      <c r="O22" s="1"/>
      <c r="P22" s="3"/>
      <c r="Q22" s="3"/>
      <c r="R22" s="2"/>
      <c r="S22" s="10"/>
      <c r="T22" s="1"/>
      <c r="U22" s="2"/>
    </row>
    <row r="23" spans="1:21">
      <c r="A23" s="146" t="s">
        <v>121</v>
      </c>
      <c r="B23" s="151">
        <f t="shared" si="0"/>
        <v>1.9608670840875055</v>
      </c>
      <c r="C23" s="152">
        <v>2639</v>
      </c>
      <c r="D23" s="158">
        <v>7.50918E-2</v>
      </c>
      <c r="E23" s="15"/>
      <c r="F23" s="2"/>
      <c r="G23" s="2"/>
      <c r="H23" s="2"/>
      <c r="I23" s="2"/>
      <c r="J23" s="2"/>
      <c r="K23" s="3"/>
      <c r="L23" s="3"/>
      <c r="M23" s="2"/>
      <c r="N23" s="2"/>
      <c r="O23" s="2"/>
      <c r="P23" s="4"/>
      <c r="Q23" s="3"/>
      <c r="R23" s="1"/>
      <c r="S23" s="1"/>
      <c r="T23" s="1"/>
      <c r="U23" s="2"/>
    </row>
    <row r="24" spans="1:21">
      <c r="A24" s="146" t="s">
        <v>122</v>
      </c>
      <c r="B24" s="151">
        <f t="shared" si="0"/>
        <v>1.9608688063697028</v>
      </c>
      <c r="C24" s="152">
        <v>2634</v>
      </c>
      <c r="D24" s="158">
        <v>8.4592200000000006E-2</v>
      </c>
      <c r="E24" s="15"/>
      <c r="F24" s="2"/>
      <c r="G24" s="2"/>
      <c r="H24" s="2"/>
      <c r="I24" s="2"/>
      <c r="J24" s="2"/>
      <c r="K24" s="3"/>
      <c r="L24" s="3"/>
      <c r="M24" s="2"/>
      <c r="N24" s="2"/>
      <c r="O24" s="2"/>
      <c r="P24" s="4"/>
      <c r="Q24" s="3"/>
      <c r="R24" s="1"/>
      <c r="S24" s="2"/>
      <c r="T24" s="1"/>
      <c r="U24" s="2"/>
    </row>
    <row r="25" spans="1:21">
      <c r="A25" s="146" t="s">
        <v>123</v>
      </c>
      <c r="B25" s="151">
        <f t="shared" si="0"/>
        <v>1.9608670840875055</v>
      </c>
      <c r="C25" s="152">
        <v>2639</v>
      </c>
      <c r="D25" s="158">
        <v>1.461719E-2</v>
      </c>
      <c r="E25" s="15"/>
      <c r="F25" s="2"/>
      <c r="G25" s="2"/>
      <c r="H25" s="1"/>
      <c r="I25" s="2"/>
      <c r="J25" s="2"/>
      <c r="K25" s="3"/>
      <c r="L25" s="3"/>
      <c r="M25" s="1"/>
      <c r="N25" s="2"/>
      <c r="O25" s="1"/>
      <c r="P25" s="4"/>
      <c r="Q25" s="3"/>
      <c r="R25" s="1"/>
      <c r="S25" s="2"/>
      <c r="T25" s="1"/>
      <c r="U25" s="1"/>
    </row>
    <row r="26" spans="1:21">
      <c r="A26" s="146" t="s">
        <v>124</v>
      </c>
      <c r="B26" s="151">
        <f t="shared" si="0"/>
        <v>1.9608681166690549</v>
      </c>
      <c r="C26" s="152">
        <v>2636</v>
      </c>
      <c r="D26" s="153">
        <v>301041.7</v>
      </c>
      <c r="E26" s="15"/>
      <c r="F26" s="2"/>
      <c r="G26" s="2"/>
      <c r="H26" s="1"/>
      <c r="I26" s="2"/>
      <c r="J26" s="2"/>
      <c r="K26" s="3"/>
      <c r="L26" s="3"/>
      <c r="M26" s="2"/>
      <c r="N26" s="1"/>
      <c r="O26" s="1"/>
      <c r="P26" s="3"/>
      <c r="Q26" s="3"/>
      <c r="R26" s="1"/>
      <c r="S26" s="1"/>
      <c r="T26" s="1"/>
      <c r="U26" s="1"/>
    </row>
    <row r="27" spans="1:21">
      <c r="A27" s="146" t="s">
        <v>125</v>
      </c>
      <c r="B27" s="151">
        <f t="shared" si="0"/>
        <v>1.9608667404174893</v>
      </c>
      <c r="C27" s="152">
        <v>2640</v>
      </c>
      <c r="D27" s="153">
        <v>181697.3</v>
      </c>
      <c r="E27" s="9"/>
      <c r="F27" s="2"/>
      <c r="G27" s="2"/>
      <c r="H27" s="10"/>
      <c r="I27" s="10"/>
      <c r="J27" s="2"/>
      <c r="K27" s="1"/>
      <c r="L27" s="1"/>
      <c r="M27" s="2"/>
      <c r="N27" s="2"/>
      <c r="O27" s="1"/>
      <c r="P27" s="3"/>
      <c r="Q27" s="3"/>
      <c r="R27" s="10"/>
      <c r="S27" s="3"/>
      <c r="T27" s="10"/>
      <c r="U27" s="1"/>
    </row>
    <row r="28" spans="1:21">
      <c r="A28" s="146" t="s">
        <v>126</v>
      </c>
      <c r="B28" s="151">
        <f t="shared" si="0"/>
        <v>1.9609020822641063</v>
      </c>
      <c r="C28" s="152">
        <v>2541</v>
      </c>
      <c r="D28" s="153">
        <v>11356721.108999999</v>
      </c>
      <c r="E28" s="9"/>
      <c r="F28" s="2"/>
      <c r="G28" s="10"/>
      <c r="H28" s="3"/>
      <c r="I28" s="2"/>
      <c r="J28" s="2"/>
      <c r="K28" s="2"/>
      <c r="L28" s="10"/>
      <c r="M28" s="1"/>
      <c r="N28" s="1"/>
      <c r="O28" s="1"/>
      <c r="P28" s="2"/>
      <c r="Q28" s="2"/>
      <c r="R28" s="3"/>
      <c r="S28" s="2"/>
      <c r="T28" s="3"/>
      <c r="U28" s="3"/>
    </row>
    <row r="30" spans="1:21">
      <c r="A30" s="159"/>
      <c r="B30" s="17"/>
      <c r="C30" s="17"/>
      <c r="D30" s="17"/>
      <c r="E30" s="17"/>
      <c r="F30" s="160"/>
      <c r="G30" s="17"/>
      <c r="H30" s="17"/>
      <c r="I30" s="17"/>
      <c r="J30" s="17"/>
      <c r="K30" s="17"/>
      <c r="L30" s="17"/>
      <c r="M30" s="17"/>
      <c r="N30" s="19"/>
      <c r="O30" s="19"/>
      <c r="P30" s="19"/>
      <c r="Q30" s="19"/>
      <c r="R30" s="19"/>
      <c r="S30" s="19"/>
      <c r="T30" s="161"/>
      <c r="U30" s="161"/>
    </row>
    <row r="31" spans="1:21">
      <c r="A31" s="17" t="s">
        <v>96</v>
      </c>
      <c r="B31" s="163" t="s">
        <v>97</v>
      </c>
      <c r="C31" s="147">
        <f t="shared" ref="C31:N31" si="1">IF(C32="B0",$E$2,
IF(C32="agec",$F$2,
IF(C32="agec2",$G$2,
IF(C32="agec3",$H$2,
IF(C32="sexq",$I$2,
IF(C32="tivc",$J$2,
IF(C32="tivc2",$K$2,
IF(C32="tivc3",$L$2,
IF(C32="MFSq",$M$2,
IF(C32="GE",$N$2,
IF(C32="Philips",$O$2,
IF(C32="GE_X_MFSq",$P$2,
IF(C32="Philips_X_MFSq",$Q$2,
IF(C32="tivc_X_MFSq",$R$2,
IF(C32="agec_X_sexq",$S$2,
IF(C32="tivc_X_GE",$T$2,
IF(C32="tivc_X_Philips",$U$2, "Error"
)))))))))))))))))</f>
        <v>1</v>
      </c>
      <c r="D31" s="147">
        <f t="shared" si="1"/>
        <v>-47.563461699999998</v>
      </c>
      <c r="E31" s="147">
        <f t="shared" si="1"/>
        <v>2262.2828888873669</v>
      </c>
      <c r="F31" s="147">
        <f t="shared" si="1"/>
        <v>0</v>
      </c>
      <c r="G31" s="147">
        <f t="shared" si="1"/>
        <v>-1521907.28</v>
      </c>
      <c r="H31" s="147">
        <f t="shared" si="1"/>
        <v>2316201768916.9985</v>
      </c>
      <c r="I31" s="147">
        <f t="shared" si="1"/>
        <v>0</v>
      </c>
      <c r="J31" s="147">
        <f t="shared" si="1"/>
        <v>0</v>
      </c>
      <c r="K31" s="147">
        <f t="shared" si="1"/>
        <v>0</v>
      </c>
      <c r="L31" s="147">
        <f t="shared" si="1"/>
        <v>0</v>
      </c>
      <c r="M31" s="147">
        <f t="shared" si="1"/>
        <v>0</v>
      </c>
      <c r="N31" s="147">
        <f t="shared" si="1"/>
        <v>0</v>
      </c>
      <c r="O31" s="162"/>
      <c r="P31" s="162"/>
      <c r="Q31" s="162"/>
      <c r="R31" s="162"/>
      <c r="S31" s="162"/>
      <c r="T31" s="162"/>
      <c r="U31" s="161"/>
    </row>
    <row r="32" spans="1:21">
      <c r="A32" s="17"/>
      <c r="B32" s="162" t="s">
        <v>98</v>
      </c>
      <c r="C32" s="161" t="s">
        <v>42</v>
      </c>
      <c r="D32" s="161" t="s">
        <v>43</v>
      </c>
      <c r="E32" s="161" t="s">
        <v>57</v>
      </c>
      <c r="F32" s="161" t="s">
        <v>69</v>
      </c>
      <c r="G32" s="161" t="s">
        <v>44</v>
      </c>
      <c r="H32" s="161" t="s">
        <v>45</v>
      </c>
      <c r="I32" s="161" t="s">
        <v>92</v>
      </c>
      <c r="J32" s="161" t="s">
        <v>1</v>
      </c>
      <c r="K32" s="161" t="s">
        <v>2</v>
      </c>
      <c r="L32" s="161" t="s">
        <v>93</v>
      </c>
      <c r="M32" s="161" t="s">
        <v>94</v>
      </c>
      <c r="N32" s="161" t="s">
        <v>95</v>
      </c>
      <c r="O32" s="162"/>
      <c r="P32" s="162"/>
      <c r="Q32" s="162"/>
      <c r="R32" s="162"/>
      <c r="S32" s="162"/>
      <c r="T32" s="162"/>
      <c r="U32" s="161"/>
    </row>
    <row r="33" spans="1:21">
      <c r="A33" s="17"/>
      <c r="B33" s="161">
        <v>445.73959659278677</v>
      </c>
      <c r="C33" s="161">
        <v>2.6512579611318345E-3</v>
      </c>
      <c r="D33" s="161">
        <v>4.705234350187964E-6</v>
      </c>
      <c r="E33" s="161">
        <v>-1.643959168689813E-6</v>
      </c>
      <c r="F33" s="161">
        <v>-1.2825286464586939E-3</v>
      </c>
      <c r="G33" s="161">
        <v>2.6625018194152148E-9</v>
      </c>
      <c r="H33" s="161">
        <v>-6.0328751052371904E-15</v>
      </c>
      <c r="I33" s="161">
        <v>-9.8918529116088518E-4</v>
      </c>
      <c r="J33" s="161">
        <v>-1.0190224740419728E-3</v>
      </c>
      <c r="K33" s="161">
        <v>-1.0816120081454039E-3</v>
      </c>
      <c r="L33" s="161">
        <v>1.3426741247915814E-3</v>
      </c>
      <c r="M33" s="161">
        <v>7.4380507928380668E-4</v>
      </c>
      <c r="N33" s="161">
        <v>1.7539238281203296E-6</v>
      </c>
      <c r="O33" s="162"/>
      <c r="P33" s="162"/>
      <c r="Q33" s="162"/>
      <c r="R33" s="162"/>
      <c r="S33" s="162"/>
      <c r="T33" s="162"/>
      <c r="U33" s="161"/>
    </row>
    <row r="34" spans="1:21">
      <c r="A34" s="17"/>
      <c r="B34" s="161">
        <v>-3.6128808357428053</v>
      </c>
      <c r="C34" s="161">
        <v>4.705234350187964E-6</v>
      </c>
      <c r="D34" s="161">
        <v>1.6811562618564614E-6</v>
      </c>
      <c r="E34" s="161">
        <v>-1.1934768406356108E-8</v>
      </c>
      <c r="F34" s="161">
        <v>7.8591252729286385E-7</v>
      </c>
      <c r="G34" s="161">
        <v>1.0167895126175827E-11</v>
      </c>
      <c r="H34" s="161">
        <v>-5.1602890646630511E-18</v>
      </c>
      <c r="I34" s="161">
        <v>-5.4872605371650734E-6</v>
      </c>
      <c r="J34" s="161">
        <v>4.288701662953495E-7</v>
      </c>
      <c r="K34" s="161">
        <v>-3.4880717572132601E-6</v>
      </c>
      <c r="L34" s="161">
        <v>9.8127175028468841E-6</v>
      </c>
      <c r="M34" s="161">
        <v>9.3644506285426041E-6</v>
      </c>
      <c r="N34" s="161">
        <v>-1.6327410215455865E-6</v>
      </c>
      <c r="O34" s="162"/>
      <c r="P34" s="162"/>
      <c r="Q34" s="162"/>
      <c r="R34" s="162"/>
      <c r="S34" s="162"/>
      <c r="T34" s="162"/>
      <c r="U34" s="161"/>
    </row>
    <row r="35" spans="1:21">
      <c r="A35" s="17"/>
      <c r="B35" s="161">
        <v>2.0037483187051734E-2</v>
      </c>
      <c r="C35" s="161">
        <v>-1.643959168689813E-6</v>
      </c>
      <c r="D35" s="161">
        <v>-1.1934768406356108E-8</v>
      </c>
      <c r="E35" s="161">
        <v>3.6677437138477226E-9</v>
      </c>
      <c r="F35" s="161">
        <v>4.0054115531701212E-8</v>
      </c>
      <c r="G35" s="161">
        <v>-6.4728138255823989E-13</v>
      </c>
      <c r="H35" s="161">
        <v>2.8418253061998455E-19</v>
      </c>
      <c r="I35" s="161">
        <v>-4.7762369662653616E-7</v>
      </c>
      <c r="J35" s="161">
        <v>-1.6404157558958364E-7</v>
      </c>
      <c r="K35" s="161">
        <v>2.8175538895707068E-7</v>
      </c>
      <c r="L35" s="161">
        <v>-2.7686300403579275E-7</v>
      </c>
      <c r="M35" s="161">
        <v>4.8012140829520709E-7</v>
      </c>
      <c r="N35" s="161">
        <v>1.5831572327094373E-9</v>
      </c>
      <c r="O35" s="162"/>
      <c r="P35" s="162"/>
      <c r="Q35" s="162"/>
      <c r="R35" s="162"/>
      <c r="S35" s="162"/>
      <c r="T35" s="162"/>
      <c r="U35" s="161"/>
    </row>
    <row r="36" spans="1:21">
      <c r="A36" s="17"/>
      <c r="B36" s="161">
        <v>37.409473031085199</v>
      </c>
      <c r="C36" s="161">
        <v>-1.2825286464586939E-3</v>
      </c>
      <c r="D36" s="161">
        <v>7.8591252729286385E-7</v>
      </c>
      <c r="E36" s="161">
        <v>4.0054115531701212E-8</v>
      </c>
      <c r="F36" s="161">
        <v>2.3049057471387479E-3</v>
      </c>
      <c r="G36" s="161">
        <v>-3.7271379621792305E-9</v>
      </c>
      <c r="H36" s="161">
        <v>-1.8665556836316852E-16</v>
      </c>
      <c r="I36" s="161">
        <v>2.4917713901411316E-4</v>
      </c>
      <c r="J36" s="161">
        <v>1.6235279913304058E-4</v>
      </c>
      <c r="K36" s="161">
        <v>-2.2551270437664587E-5</v>
      </c>
      <c r="L36" s="161">
        <v>-3.3921865390647212E-4</v>
      </c>
      <c r="M36" s="161">
        <v>1.0749665250186644E-4</v>
      </c>
      <c r="N36" s="161">
        <v>-1.5461831778333783E-6</v>
      </c>
      <c r="O36" s="162"/>
      <c r="P36" s="162"/>
      <c r="Q36" s="162"/>
      <c r="R36" s="162"/>
      <c r="S36" s="162"/>
      <c r="T36" s="162"/>
      <c r="U36" s="161"/>
    </row>
    <row r="37" spans="1:21">
      <c r="A37" s="17"/>
      <c r="B37" s="161">
        <v>5.3112012221047392E-5</v>
      </c>
      <c r="C37" s="161">
        <v>2.6625018194152148E-9</v>
      </c>
      <c r="D37" s="161">
        <v>1.0167895126175827E-11</v>
      </c>
      <c r="E37" s="161">
        <v>-6.4728138255823989E-13</v>
      </c>
      <c r="F37" s="161">
        <v>-3.7271379621792305E-9</v>
      </c>
      <c r="G37" s="161">
        <v>1.8143866329233021E-14</v>
      </c>
      <c r="H37" s="161">
        <v>-2.5254330849101764E-21</v>
      </c>
      <c r="I37" s="161">
        <v>-5.565503655314416E-10</v>
      </c>
      <c r="J37" s="161">
        <v>-1.7093757868481046E-10</v>
      </c>
      <c r="K37" s="161">
        <v>-3.4705412650189057E-10</v>
      </c>
      <c r="L37" s="161">
        <v>7.5178121056612011E-10</v>
      </c>
      <c r="M37" s="161">
        <v>-5.7662871847387947E-10</v>
      </c>
      <c r="N37" s="161">
        <v>3.4646525870997941E-12</v>
      </c>
      <c r="O37" s="162"/>
      <c r="P37" s="162"/>
      <c r="Q37" s="162"/>
      <c r="R37" s="162"/>
      <c r="S37" s="162"/>
      <c r="T37" s="162"/>
      <c r="U37" s="161"/>
    </row>
    <row r="38" spans="1:21">
      <c r="A38" s="17"/>
      <c r="B38" s="161">
        <v>8.0595895508767091E-11</v>
      </c>
      <c r="C38" s="161">
        <v>-6.0328751052371904E-15</v>
      </c>
      <c r="D38" s="161">
        <v>-5.1602890646630511E-18</v>
      </c>
      <c r="E38" s="161">
        <v>2.8418253061998455E-19</v>
      </c>
      <c r="F38" s="161">
        <v>-1.8665556836316852E-16</v>
      </c>
      <c r="G38" s="161">
        <v>-2.5254330849101764E-21</v>
      </c>
      <c r="H38" s="161">
        <v>1.8724950149917742E-25</v>
      </c>
      <c r="I38" s="161">
        <v>9.8316461432034224E-16</v>
      </c>
      <c r="J38" s="161">
        <v>-5.4078486551450642E-16</v>
      </c>
      <c r="K38" s="161">
        <v>-1.573723595823512E-15</v>
      </c>
      <c r="L38" s="161">
        <v>-4.110479680321288E-16</v>
      </c>
      <c r="M38" s="161">
        <v>4.0963231451668385E-19</v>
      </c>
      <c r="N38" s="161">
        <v>4.7702782262097974E-17</v>
      </c>
      <c r="O38" s="162"/>
      <c r="P38" s="162"/>
      <c r="Q38" s="162"/>
      <c r="R38" s="162"/>
      <c r="S38" s="162"/>
      <c r="T38" s="162"/>
      <c r="U38" s="161"/>
    </row>
    <row r="39" spans="1:21">
      <c r="A39" s="17"/>
      <c r="B39" s="161">
        <v>130.24120998017122</v>
      </c>
      <c r="C39" s="161">
        <v>-9.8918529116088518E-4</v>
      </c>
      <c r="D39" s="161">
        <v>-5.4872605371650734E-6</v>
      </c>
      <c r="E39" s="161">
        <v>-4.7762369662653616E-7</v>
      </c>
      <c r="F39" s="161">
        <v>2.4917713901411316E-4</v>
      </c>
      <c r="G39" s="161">
        <v>-5.565503655314416E-10</v>
      </c>
      <c r="H39" s="161">
        <v>9.8316461432034224E-16</v>
      </c>
      <c r="I39" s="161">
        <v>3.3246938347674098E-3</v>
      </c>
      <c r="J39" s="161">
        <v>1.0591691686988622E-3</v>
      </c>
      <c r="K39" s="161">
        <v>9.7645941872118581E-4</v>
      </c>
      <c r="L39" s="161">
        <v>-3.2216393911217124E-3</v>
      </c>
      <c r="M39" s="161">
        <v>-3.2792580138207403E-3</v>
      </c>
      <c r="N39" s="161">
        <v>8.0961563346985607E-7</v>
      </c>
      <c r="O39" s="162"/>
      <c r="P39" s="162"/>
      <c r="Q39" s="162"/>
      <c r="R39" s="162"/>
      <c r="S39" s="162"/>
      <c r="T39" s="162"/>
      <c r="U39" s="161"/>
    </row>
    <row r="40" spans="1:21">
      <c r="A40" s="17"/>
      <c r="B40" s="161">
        <v>101.78677608981198</v>
      </c>
      <c r="C40" s="161">
        <v>-1.0190224740419728E-3</v>
      </c>
      <c r="D40" s="161">
        <v>4.288701662953495E-7</v>
      </c>
      <c r="E40" s="161">
        <v>-1.6404157558958364E-7</v>
      </c>
      <c r="F40" s="161">
        <v>1.6235279913304058E-4</v>
      </c>
      <c r="G40" s="161">
        <v>-1.7093757868481046E-10</v>
      </c>
      <c r="H40" s="161">
        <v>-5.4078486551450642E-16</v>
      </c>
      <c r="I40" s="161">
        <v>1.0591691686988622E-3</v>
      </c>
      <c r="J40" s="161">
        <v>6.9923049455156011E-3</v>
      </c>
      <c r="K40" s="161">
        <v>1.0049492286959148E-3</v>
      </c>
      <c r="L40" s="161">
        <v>-6.982434837546128E-3</v>
      </c>
      <c r="M40" s="161">
        <v>-1.0380902757823884E-3</v>
      </c>
      <c r="N40" s="161">
        <v>-1.2524516673258794E-6</v>
      </c>
      <c r="O40" s="162"/>
      <c r="P40" s="162"/>
      <c r="Q40" s="162"/>
      <c r="R40" s="162"/>
      <c r="S40" s="162"/>
      <c r="T40" s="162"/>
      <c r="U40" s="161"/>
    </row>
    <row r="41" spans="1:21">
      <c r="A41" s="17"/>
      <c r="B41" s="161">
        <v>39.732984433870037</v>
      </c>
      <c r="C41" s="161">
        <v>-1.0816120081454039E-3</v>
      </c>
      <c r="D41" s="161">
        <v>-3.4880717572132601E-6</v>
      </c>
      <c r="E41" s="161">
        <v>2.8175538895707068E-7</v>
      </c>
      <c r="F41" s="161">
        <v>-2.2551270437664587E-5</v>
      </c>
      <c r="G41" s="161">
        <v>-3.4705412650189057E-10</v>
      </c>
      <c r="H41" s="161">
        <v>-1.573723595823512E-15</v>
      </c>
      <c r="I41" s="161">
        <v>9.7645941872118581E-4</v>
      </c>
      <c r="J41" s="161">
        <v>1.0049492286959148E-3</v>
      </c>
      <c r="K41" s="161">
        <v>4.9186789474305759E-3</v>
      </c>
      <c r="L41" s="161">
        <v>-1.0477126792376775E-3</v>
      </c>
      <c r="M41" s="161">
        <v>-4.8285671553319476E-3</v>
      </c>
      <c r="N41" s="161">
        <v>4.6600677532987315E-6</v>
      </c>
      <c r="O41" s="162"/>
      <c r="P41" s="162"/>
      <c r="Q41" s="162"/>
      <c r="R41" s="162"/>
      <c r="S41" s="162"/>
      <c r="T41" s="162"/>
      <c r="U41" s="161"/>
    </row>
    <row r="42" spans="1:21">
      <c r="A42" s="17"/>
      <c r="B42" s="161">
        <v>-183.10620510377711</v>
      </c>
      <c r="C42" s="161">
        <v>1.3426741247915814E-3</v>
      </c>
      <c r="D42" s="161">
        <v>9.8127175028468841E-6</v>
      </c>
      <c r="E42" s="161">
        <v>-2.7686300403579275E-7</v>
      </c>
      <c r="F42" s="161">
        <v>-3.3921865390647212E-4</v>
      </c>
      <c r="G42" s="161">
        <v>7.5178121056612011E-10</v>
      </c>
      <c r="H42" s="161">
        <v>-4.110479680321288E-16</v>
      </c>
      <c r="I42" s="161">
        <v>-3.2216393911217124E-3</v>
      </c>
      <c r="J42" s="161">
        <v>-6.982434837546128E-3</v>
      </c>
      <c r="K42" s="161">
        <v>-1.0477126792376775E-3</v>
      </c>
      <c r="L42" s="161">
        <v>1.2819560478957919E-2</v>
      </c>
      <c r="M42" s="161">
        <v>3.181403439307937E-3</v>
      </c>
      <c r="N42" s="161">
        <v>-7.7260219853565592E-6</v>
      </c>
      <c r="O42" s="162"/>
      <c r="P42" s="162"/>
      <c r="Q42" s="162"/>
      <c r="R42" s="162"/>
      <c r="S42" s="162"/>
      <c r="T42" s="162"/>
      <c r="U42" s="161"/>
    </row>
    <row r="43" spans="1:21">
      <c r="A43" s="17"/>
      <c r="B43" s="161">
        <v>-180.24203302750064</v>
      </c>
      <c r="C43" s="161">
        <v>7.4380507928380668E-4</v>
      </c>
      <c r="D43" s="161">
        <v>9.3644506285426041E-6</v>
      </c>
      <c r="E43" s="161">
        <v>4.8012140829520709E-7</v>
      </c>
      <c r="F43" s="161">
        <v>1.0749665250186644E-4</v>
      </c>
      <c r="G43" s="161">
        <v>-5.7662871847387947E-10</v>
      </c>
      <c r="H43" s="161">
        <v>4.0963231451668385E-19</v>
      </c>
      <c r="I43" s="161">
        <v>-3.2792580138207403E-3</v>
      </c>
      <c r="J43" s="161">
        <v>-1.0380902757823884E-3</v>
      </c>
      <c r="K43" s="161">
        <v>-4.8285671553319476E-3</v>
      </c>
      <c r="L43" s="161">
        <v>3.181403439307937E-3</v>
      </c>
      <c r="M43" s="161">
        <v>9.241418780694623E-3</v>
      </c>
      <c r="N43" s="161">
        <v>-7.4958014707924949E-6</v>
      </c>
      <c r="O43" s="162"/>
      <c r="P43" s="162"/>
      <c r="Q43" s="162"/>
      <c r="R43" s="162"/>
      <c r="S43" s="162"/>
      <c r="T43" s="162"/>
      <c r="U43" s="161"/>
    </row>
    <row r="44" spans="1:21">
      <c r="A44" s="17"/>
      <c r="B44" s="161">
        <v>-0.95060375739304004</v>
      </c>
      <c r="C44" s="161">
        <v>1.7539238281203296E-6</v>
      </c>
      <c r="D44" s="161">
        <v>-1.6327410215455865E-6</v>
      </c>
      <c r="E44" s="161">
        <v>1.5831572327094373E-9</v>
      </c>
      <c r="F44" s="161">
        <v>-1.5461831778333783E-6</v>
      </c>
      <c r="G44" s="161">
        <v>3.4646525870997941E-12</v>
      </c>
      <c r="H44" s="161">
        <v>4.7702782262097974E-17</v>
      </c>
      <c r="I44" s="161">
        <v>8.0961563346985607E-7</v>
      </c>
      <c r="J44" s="161">
        <v>-1.2524516673258794E-6</v>
      </c>
      <c r="K44" s="161">
        <v>4.6600677532987315E-6</v>
      </c>
      <c r="L44" s="161">
        <v>-7.7260219853565592E-6</v>
      </c>
      <c r="M44" s="161">
        <v>-7.4958014707924949E-6</v>
      </c>
      <c r="N44" s="161">
        <v>3.2704351058618118E-6</v>
      </c>
      <c r="O44" s="162"/>
      <c r="P44" s="162"/>
      <c r="Q44" s="162"/>
      <c r="R44" s="162"/>
      <c r="S44" s="162"/>
      <c r="T44" s="162"/>
      <c r="U44" s="161"/>
    </row>
    <row r="45" spans="1:21">
      <c r="A45" s="19"/>
      <c r="B45" s="161"/>
      <c r="C45" s="161"/>
      <c r="D45" s="161"/>
      <c r="E45" s="161"/>
      <c r="F45" s="161"/>
      <c r="G45" s="161"/>
      <c r="H45" s="161"/>
      <c r="I45" s="161"/>
      <c r="J45" s="161"/>
      <c r="K45" s="161"/>
      <c r="L45" s="161"/>
      <c r="M45" s="161"/>
      <c r="N45" s="161"/>
      <c r="O45" s="162"/>
      <c r="P45" s="162"/>
      <c r="Q45" s="162"/>
      <c r="R45" s="162"/>
      <c r="S45" s="162"/>
      <c r="T45" s="162"/>
      <c r="U45" s="161"/>
    </row>
    <row r="46" spans="1:21">
      <c r="A46" s="17" t="s">
        <v>99</v>
      </c>
      <c r="B46" s="162" t="s">
        <v>97</v>
      </c>
      <c r="C46" s="147">
        <f t="shared" ref="C46:N46" si="2">IF(C47="B0",$E$2,
IF(C47="agec",$F$2,
IF(C47="agec2",$G$2,
IF(C47="agec3",$H$2,
IF(C47="sexq",$I$2,
IF(C47="tivc",$J$2,
IF(C47="tivc2",$K$2,
IF(C47="tivc3",$L$2,
IF(C47="MFSq",$M$2,
IF(C47="GE",$N$2,
IF(C47="Philips",$O$2,
IF(C47="GE_X_MFSq",$P$2,
IF(C47="Philips_X_MFSq",$Q$2,
IF(C47="tivc_X_MFSq",$R$2,
IF(C47="agec_X_sexq",$S$2,
IF(C47="tivc_X_GE",$T$2,
IF(C47="tivc_X_Philips",$U$2, "Error"
)))))))))))))))))</f>
        <v>1</v>
      </c>
      <c r="D46" s="147">
        <f t="shared" si="2"/>
        <v>-47.563461699999998</v>
      </c>
      <c r="E46" s="147">
        <f t="shared" si="2"/>
        <v>2262.2828888873669</v>
      </c>
      <c r="F46" s="147">
        <f t="shared" si="2"/>
        <v>-107602.00554015962</v>
      </c>
      <c r="G46" s="147">
        <f t="shared" si="2"/>
        <v>0</v>
      </c>
      <c r="H46" s="147">
        <f t="shared" si="2"/>
        <v>-1521907.28</v>
      </c>
      <c r="I46" s="147">
        <f t="shared" si="2"/>
        <v>0</v>
      </c>
      <c r="J46" s="147">
        <f t="shared" si="2"/>
        <v>0</v>
      </c>
      <c r="K46" s="147">
        <f t="shared" si="2"/>
        <v>0</v>
      </c>
      <c r="L46" s="147">
        <f t="shared" si="2"/>
        <v>0</v>
      </c>
      <c r="M46" s="147">
        <f t="shared" si="2"/>
        <v>0</v>
      </c>
      <c r="N46" s="147">
        <f t="shared" si="2"/>
        <v>0</v>
      </c>
      <c r="O46" s="162"/>
      <c r="P46" s="162"/>
      <c r="Q46" s="162"/>
      <c r="R46" s="162"/>
      <c r="S46" s="162"/>
      <c r="T46" s="162"/>
      <c r="U46" s="161"/>
    </row>
    <row r="47" spans="1:21">
      <c r="A47" s="17"/>
      <c r="B47" s="162" t="s">
        <v>98</v>
      </c>
      <c r="C47" s="161" t="s">
        <v>42</v>
      </c>
      <c r="D47" s="161" t="s">
        <v>43</v>
      </c>
      <c r="E47" s="161" t="s">
        <v>57</v>
      </c>
      <c r="F47" s="161" t="s">
        <v>66</v>
      </c>
      <c r="G47" s="161" t="s">
        <v>69</v>
      </c>
      <c r="H47" s="161" t="s">
        <v>44</v>
      </c>
      <c r="I47" s="161" t="s">
        <v>92</v>
      </c>
      <c r="J47" s="161" t="s">
        <v>1</v>
      </c>
      <c r="K47" s="161" t="s">
        <v>2</v>
      </c>
      <c r="L47" s="161" t="s">
        <v>93</v>
      </c>
      <c r="M47" s="161" t="s">
        <v>94</v>
      </c>
      <c r="N47" s="161" t="s">
        <v>95</v>
      </c>
      <c r="O47" s="162"/>
      <c r="P47" s="162"/>
      <c r="Q47" s="162"/>
      <c r="R47" s="162"/>
      <c r="S47" s="162"/>
      <c r="T47" s="162"/>
      <c r="U47" s="161"/>
    </row>
    <row r="48" spans="1:21">
      <c r="A48" s="17"/>
      <c r="B48" s="161">
        <v>510.71093984544632</v>
      </c>
      <c r="C48" s="161">
        <v>2.6300992594158975E-3</v>
      </c>
      <c r="D48" s="161">
        <v>-2.3962477174017739E-5</v>
      </c>
      <c r="E48" s="161">
        <v>-2.1390697683510418E-6</v>
      </c>
      <c r="F48" s="161">
        <v>4.1358302797277705E-8</v>
      </c>
      <c r="G48" s="161">
        <v>-1.3175102933834653E-3</v>
      </c>
      <c r="H48" s="161">
        <v>2.603585246041915E-9</v>
      </c>
      <c r="I48" s="161">
        <v>-9.2594529591390402E-4</v>
      </c>
      <c r="J48" s="161">
        <v>-1.0288308665313559E-3</v>
      </c>
      <c r="K48" s="161">
        <v>-1.1404404425064715E-3</v>
      </c>
      <c r="L48" s="161">
        <v>1.3890732235894798E-3</v>
      </c>
      <c r="M48" s="161">
        <v>7.1184201756172515E-4</v>
      </c>
      <c r="N48" s="161">
        <v>3.5123096930928434E-6</v>
      </c>
      <c r="O48" s="162"/>
      <c r="P48" s="162"/>
      <c r="Q48" s="162"/>
      <c r="R48" s="162"/>
      <c r="S48" s="162"/>
      <c r="T48" s="162"/>
      <c r="U48" s="161"/>
    </row>
    <row r="49" spans="1:21">
      <c r="A49" s="17"/>
      <c r="B49" s="161">
        <v>-2.7014574690008937</v>
      </c>
      <c r="C49" s="161">
        <v>-2.3962477174017739E-5</v>
      </c>
      <c r="D49" s="161">
        <v>6.3713154793337727E-6</v>
      </c>
      <c r="E49" s="161">
        <v>7.0981008670985085E-8</v>
      </c>
      <c r="F49" s="161">
        <v>-6.8006246881683504E-9</v>
      </c>
      <c r="G49" s="161">
        <v>5.5794173625534577E-6</v>
      </c>
      <c r="H49" s="161">
        <v>6.1684070504352144E-12</v>
      </c>
      <c r="I49" s="161">
        <v>-1.059186717448016E-5</v>
      </c>
      <c r="J49" s="161">
        <v>-5.4340164352956784E-7</v>
      </c>
      <c r="K49" s="161">
        <v>-1.9214767462257303E-6</v>
      </c>
      <c r="L49" s="161">
        <v>-7.4237573569013496E-7</v>
      </c>
      <c r="M49" s="161">
        <v>1.4355394227431831E-5</v>
      </c>
      <c r="N49" s="161">
        <v>-1.6717229774976895E-6</v>
      </c>
      <c r="O49" s="162"/>
      <c r="P49" s="162"/>
      <c r="Q49" s="162"/>
      <c r="R49" s="162"/>
      <c r="S49" s="162"/>
      <c r="T49" s="162"/>
      <c r="U49" s="161"/>
    </row>
    <row r="50" spans="1:21">
      <c r="A50" s="17"/>
      <c r="B50" s="161">
        <v>2.1672763743416746E-2</v>
      </c>
      <c r="C50" s="161">
        <v>-2.1390697683510418E-6</v>
      </c>
      <c r="D50" s="161">
        <v>7.0981008670985085E-8</v>
      </c>
      <c r="E50" s="161">
        <v>5.1305807405291055E-9</v>
      </c>
      <c r="F50" s="161">
        <v>-1.201530289374217E-10</v>
      </c>
      <c r="G50" s="161">
        <v>1.2736801436818717E-7</v>
      </c>
      <c r="H50" s="161">
        <v>-7.2434126583955315E-13</v>
      </c>
      <c r="I50" s="161">
        <v>-5.7369734340008289E-7</v>
      </c>
      <c r="J50" s="161">
        <v>-1.8003288945342044E-7</v>
      </c>
      <c r="K50" s="161">
        <v>3.1324728330897487E-7</v>
      </c>
      <c r="L50" s="161">
        <v>-4.532133642313753E-7</v>
      </c>
      <c r="M50" s="161">
        <v>5.7142574935878554E-7</v>
      </c>
      <c r="N50" s="161">
        <v>7.7412334536623775E-10</v>
      </c>
      <c r="O50" s="162"/>
      <c r="P50" s="162"/>
      <c r="Q50" s="162"/>
      <c r="R50" s="162"/>
      <c r="S50" s="162"/>
      <c r="T50" s="162"/>
      <c r="U50" s="161"/>
    </row>
    <row r="51" spans="1:21">
      <c r="A51" s="17"/>
      <c r="B51" s="161">
        <v>-9.1637584144805249E-4</v>
      </c>
      <c r="C51" s="161">
        <v>4.1358302797277705E-8</v>
      </c>
      <c r="D51" s="161">
        <v>-6.8006246881683504E-9</v>
      </c>
      <c r="E51" s="161">
        <v>-1.201530289374217E-10</v>
      </c>
      <c r="F51" s="161">
        <v>9.8611041811854729E-12</v>
      </c>
      <c r="G51" s="161">
        <v>-7.0652731753321549E-9</v>
      </c>
      <c r="H51" s="161">
        <v>5.8582088419697159E-15</v>
      </c>
      <c r="I51" s="161">
        <v>7.5915802506030284E-9</v>
      </c>
      <c r="J51" s="161">
        <v>1.7349955444937647E-9</v>
      </c>
      <c r="K51" s="161">
        <v>-2.2072789378822126E-9</v>
      </c>
      <c r="L51" s="161">
        <v>1.4524906588886221E-8</v>
      </c>
      <c r="M51" s="161">
        <v>-7.5316716250734627E-9</v>
      </c>
      <c r="N51" s="161">
        <v>5.8167510266286947E-11</v>
      </c>
      <c r="O51" s="162"/>
      <c r="P51" s="162"/>
      <c r="Q51" s="162"/>
      <c r="R51" s="162"/>
      <c r="S51" s="162"/>
      <c r="T51" s="162"/>
      <c r="U51" s="161"/>
    </row>
    <row r="52" spans="1:21">
      <c r="A52" s="17"/>
      <c r="B52" s="161">
        <v>35.077853951146203</v>
      </c>
      <c r="C52" s="161">
        <v>-1.3175102933834653E-3</v>
      </c>
      <c r="D52" s="161">
        <v>5.5794173625534577E-6</v>
      </c>
      <c r="E52" s="161">
        <v>1.2736801436818717E-7</v>
      </c>
      <c r="F52" s="161">
        <v>-7.0652731753321549E-9</v>
      </c>
      <c r="G52" s="161">
        <v>2.3080883943330144E-3</v>
      </c>
      <c r="H52" s="161">
        <v>-3.7240912492966215E-9</v>
      </c>
      <c r="I52" s="161">
        <v>2.4692355554223279E-4</v>
      </c>
      <c r="J52" s="161">
        <v>1.5627306593681407E-4</v>
      </c>
      <c r="K52" s="161">
        <v>-2.5467303373677208E-5</v>
      </c>
      <c r="L52" s="161">
        <v>-3.4797659948641776E-4</v>
      </c>
      <c r="M52" s="161">
        <v>1.1306329272686658E-4</v>
      </c>
      <c r="N52" s="161">
        <v>-1.4751012820839266E-6</v>
      </c>
      <c r="O52" s="162"/>
      <c r="P52" s="162"/>
      <c r="Q52" s="162"/>
      <c r="R52" s="162"/>
      <c r="S52" s="162"/>
      <c r="T52" s="162"/>
      <c r="U52" s="161"/>
    </row>
    <row r="53" spans="1:21">
      <c r="A53" s="17"/>
      <c r="B53" s="161">
        <v>6.3189319414061641E-5</v>
      </c>
      <c r="C53" s="161">
        <v>2.603585246041915E-9</v>
      </c>
      <c r="D53" s="161">
        <v>6.1684070504352144E-12</v>
      </c>
      <c r="E53" s="161">
        <v>-7.2434126583955315E-13</v>
      </c>
      <c r="F53" s="161">
        <v>5.8582088419697159E-15</v>
      </c>
      <c r="G53" s="161">
        <v>-3.7240912492966215E-9</v>
      </c>
      <c r="H53" s="161">
        <v>1.803922238646959E-14</v>
      </c>
      <c r="I53" s="161">
        <v>-5.3967211926059751E-10</v>
      </c>
      <c r="J53" s="161">
        <v>-1.7433567013338511E-10</v>
      </c>
      <c r="K53" s="161">
        <v>-3.3790893960336742E-10</v>
      </c>
      <c r="L53" s="161">
        <v>7.393622848567389E-10</v>
      </c>
      <c r="M53" s="161">
        <v>-6.1480304156330165E-10</v>
      </c>
      <c r="N53" s="161">
        <v>4.1994040032222198E-12</v>
      </c>
      <c r="O53" s="162"/>
      <c r="P53" s="162"/>
      <c r="Q53" s="162"/>
      <c r="R53" s="162"/>
      <c r="S53" s="162"/>
      <c r="T53" s="162"/>
      <c r="U53" s="161"/>
    </row>
    <row r="54" spans="1:21">
      <c r="A54" s="17"/>
      <c r="B54" s="161">
        <v>34.760744432255109</v>
      </c>
      <c r="C54" s="161">
        <v>-9.2594529591390402E-4</v>
      </c>
      <c r="D54" s="161">
        <v>-1.059186717448016E-5</v>
      </c>
      <c r="E54" s="161">
        <v>-5.7369734340008289E-7</v>
      </c>
      <c r="F54" s="161">
        <v>7.5915802506030284E-9</v>
      </c>
      <c r="G54" s="161">
        <v>2.4692355554223279E-4</v>
      </c>
      <c r="H54" s="161">
        <v>-5.3967211926059751E-10</v>
      </c>
      <c r="I54" s="161">
        <v>3.3208413198279234E-3</v>
      </c>
      <c r="J54" s="161">
        <v>1.0614822921076335E-3</v>
      </c>
      <c r="K54" s="161">
        <v>9.8134685201439558E-4</v>
      </c>
      <c r="L54" s="161">
        <v>-3.2005091399768719E-3</v>
      </c>
      <c r="M54" s="161">
        <v>-3.2786848512607763E-3</v>
      </c>
      <c r="N54" s="161">
        <v>5.1108068996414383E-7</v>
      </c>
      <c r="O54" s="162"/>
      <c r="P54" s="162"/>
      <c r="Q54" s="162"/>
      <c r="R54" s="162"/>
      <c r="S54" s="162"/>
      <c r="T54" s="162"/>
      <c r="U54" s="161"/>
    </row>
    <row r="55" spans="1:21">
      <c r="A55" s="17"/>
      <c r="B55" s="161">
        <v>40.209277666926482</v>
      </c>
      <c r="C55" s="161">
        <v>-1.0288308665313559E-3</v>
      </c>
      <c r="D55" s="161">
        <v>-5.4340164352956784E-7</v>
      </c>
      <c r="E55" s="161">
        <v>-1.8003288945342044E-7</v>
      </c>
      <c r="F55" s="161">
        <v>1.7349955444937647E-9</v>
      </c>
      <c r="G55" s="161">
        <v>1.5627306593681407E-4</v>
      </c>
      <c r="H55" s="161">
        <v>-1.7433567013338511E-10</v>
      </c>
      <c r="I55" s="161">
        <v>1.0614822921076335E-3</v>
      </c>
      <c r="J55" s="161">
        <v>7.0256357438058959E-3</v>
      </c>
      <c r="K55" s="161">
        <v>9.9999707278537785E-4</v>
      </c>
      <c r="L55" s="161">
        <v>-7.014918889713357E-3</v>
      </c>
      <c r="M55" s="161">
        <v>-1.0372859065722662E-3</v>
      </c>
      <c r="N55" s="161">
        <v>-1.3484750105926051E-6</v>
      </c>
      <c r="O55" s="162"/>
      <c r="P55" s="162"/>
      <c r="Q55" s="162"/>
      <c r="R55" s="162"/>
      <c r="S55" s="162"/>
      <c r="T55" s="162"/>
      <c r="U55" s="161"/>
    </row>
    <row r="56" spans="1:21">
      <c r="A56" s="17"/>
      <c r="B56" s="161">
        <v>19.028029791771683</v>
      </c>
      <c r="C56" s="161">
        <v>-1.1404404425064715E-3</v>
      </c>
      <c r="D56" s="161">
        <v>-1.9214767462257303E-6</v>
      </c>
      <c r="E56" s="161">
        <v>3.1324728330897487E-7</v>
      </c>
      <c r="F56" s="161">
        <v>-2.2072789378822126E-9</v>
      </c>
      <c r="G56" s="161">
        <v>-2.5467303373677208E-5</v>
      </c>
      <c r="H56" s="161">
        <v>-3.3790893960336742E-10</v>
      </c>
      <c r="I56" s="161">
        <v>9.8134685201439558E-4</v>
      </c>
      <c r="J56" s="161">
        <v>9.9999707278537785E-4</v>
      </c>
      <c r="K56" s="161">
        <v>4.8897779856913754E-3</v>
      </c>
      <c r="L56" s="161">
        <v>-1.0524550077302712E-3</v>
      </c>
      <c r="M56" s="161">
        <v>-4.8110081121735147E-3</v>
      </c>
      <c r="N56" s="161">
        <v>4.9554084323849741E-6</v>
      </c>
      <c r="O56" s="162"/>
      <c r="P56" s="162"/>
      <c r="Q56" s="162"/>
      <c r="R56" s="162"/>
      <c r="S56" s="162"/>
      <c r="T56" s="162"/>
      <c r="U56" s="161"/>
    </row>
    <row r="57" spans="1:21">
      <c r="A57" s="17"/>
      <c r="B57" s="161">
        <v>-94.801374854425745</v>
      </c>
      <c r="C57" s="161">
        <v>1.3890732235894798E-3</v>
      </c>
      <c r="D57" s="161">
        <v>-7.4237573569013496E-7</v>
      </c>
      <c r="E57" s="161">
        <v>-4.532133642313753E-7</v>
      </c>
      <c r="F57" s="161">
        <v>1.4524906588886221E-8</v>
      </c>
      <c r="G57" s="161">
        <v>-3.4797659948641776E-4</v>
      </c>
      <c r="H57" s="161">
        <v>7.393622848567389E-10</v>
      </c>
      <c r="I57" s="161">
        <v>-3.2005091399768719E-3</v>
      </c>
      <c r="J57" s="161">
        <v>-7.014918889713357E-3</v>
      </c>
      <c r="K57" s="161">
        <v>-1.0524550077302712E-3</v>
      </c>
      <c r="L57" s="161">
        <v>1.2877378682422893E-2</v>
      </c>
      <c r="M57" s="161">
        <v>3.1611522282313678E-3</v>
      </c>
      <c r="N57" s="161">
        <v>-7.0487438281457863E-6</v>
      </c>
      <c r="O57" s="162"/>
      <c r="P57" s="162"/>
      <c r="Q57" s="162"/>
      <c r="R57" s="162"/>
      <c r="S57" s="162"/>
      <c r="T57" s="162"/>
      <c r="U57" s="161"/>
    </row>
    <row r="58" spans="1:21">
      <c r="A58" s="17"/>
      <c r="B58" s="161">
        <v>-122.29651577805534</v>
      </c>
      <c r="C58" s="161">
        <v>7.1184201756172515E-4</v>
      </c>
      <c r="D58" s="161">
        <v>1.4355394227431831E-5</v>
      </c>
      <c r="E58" s="161">
        <v>5.7142574935878554E-7</v>
      </c>
      <c r="F58" s="161">
        <v>-7.5316716250734627E-9</v>
      </c>
      <c r="G58" s="161">
        <v>1.1306329272686658E-4</v>
      </c>
      <c r="H58" s="161">
        <v>-6.1480304156330165E-10</v>
      </c>
      <c r="I58" s="161">
        <v>-3.2786848512607763E-3</v>
      </c>
      <c r="J58" s="161">
        <v>-1.0372859065722662E-3</v>
      </c>
      <c r="K58" s="161">
        <v>-4.8110081121735147E-3</v>
      </c>
      <c r="L58" s="161">
        <v>3.1611522282313678E-3</v>
      </c>
      <c r="M58" s="161">
        <v>9.2232582422380385E-3</v>
      </c>
      <c r="N58" s="161">
        <v>-7.2897462212165538E-6</v>
      </c>
      <c r="O58" s="162"/>
      <c r="P58" s="162"/>
      <c r="Q58" s="162"/>
      <c r="R58" s="162"/>
      <c r="S58" s="162"/>
      <c r="T58" s="162"/>
      <c r="U58" s="161"/>
    </row>
    <row r="59" spans="1:21">
      <c r="A59" s="17"/>
      <c r="B59" s="161">
        <v>-0.56741951862503504</v>
      </c>
      <c r="C59" s="161">
        <v>3.5123096930928434E-6</v>
      </c>
      <c r="D59" s="161">
        <v>-1.6717229774976895E-6</v>
      </c>
      <c r="E59" s="161">
        <v>7.7412334536623775E-10</v>
      </c>
      <c r="F59" s="161">
        <v>5.8167510266286947E-11</v>
      </c>
      <c r="G59" s="161">
        <v>-1.4751012820839266E-6</v>
      </c>
      <c r="H59" s="161">
        <v>4.1994040032222198E-12</v>
      </c>
      <c r="I59" s="161">
        <v>5.1108068996414383E-7</v>
      </c>
      <c r="J59" s="161">
        <v>-1.3484750105926051E-6</v>
      </c>
      <c r="K59" s="161">
        <v>4.9554084323849741E-6</v>
      </c>
      <c r="L59" s="161">
        <v>-7.0487438281457863E-6</v>
      </c>
      <c r="M59" s="161">
        <v>-7.2897462212165538E-6</v>
      </c>
      <c r="N59" s="161">
        <v>3.2577139168447225E-6</v>
      </c>
      <c r="O59" s="162"/>
      <c r="P59" s="162"/>
      <c r="Q59" s="162"/>
      <c r="R59" s="162"/>
      <c r="S59" s="162"/>
      <c r="T59" s="162"/>
      <c r="U59" s="161"/>
    </row>
    <row r="60" spans="1:21">
      <c r="A60" s="19"/>
      <c r="B60" s="161"/>
      <c r="C60" s="161"/>
      <c r="D60" s="161"/>
      <c r="E60" s="161"/>
      <c r="F60" s="161"/>
      <c r="G60" s="161"/>
      <c r="H60" s="161"/>
      <c r="I60" s="161"/>
      <c r="J60" s="161"/>
      <c r="K60" s="161"/>
      <c r="L60" s="161"/>
      <c r="M60" s="161"/>
      <c r="N60" s="161"/>
      <c r="O60" s="162"/>
      <c r="P60" s="162"/>
      <c r="Q60" s="162"/>
      <c r="R60" s="162"/>
      <c r="S60" s="162"/>
      <c r="T60" s="162"/>
      <c r="U60" s="161"/>
    </row>
    <row r="61" spans="1:21" s="164" customFormat="1">
      <c r="A61" s="19" t="s">
        <v>100</v>
      </c>
      <c r="B61" s="171" t="s">
        <v>97</v>
      </c>
      <c r="C61" s="147">
        <f t="shared" ref="C61:Q61" si="3">IF(C62="B0",$E$2,
IF(C62="agec",$F$2,
IF(C62="agec2",$G$2,
IF(C62="agec3",$H$2,
IF(C62="sexq",$I$2,
IF(C62="tivc",$J$2,
IF(C62="tivc2",$K$2,
IF(C62="tivc3",$L$2,
IF(C62="MFSq",$M$2,
IF(C62="GE",$N$2,
IF(C62="Philips",$O$2,
IF(C62="GE_X_MFSq",$P$2,
IF(C62="Philips_X_MFSq",$Q$2,
IF(C62="tivc_X_MFSq",$R$2,
IF(C62="agec_X_sexq",$S$2,
IF(C62="tivc_X_GE",$T$2,
IF(C62="tivc_X_Philips",$U$2, "Error"
)))))))))))))))))</f>
        <v>1</v>
      </c>
      <c r="D61" s="147">
        <f t="shared" si="3"/>
        <v>-47.563461699999998</v>
      </c>
      <c r="E61" s="147">
        <f t="shared" si="3"/>
        <v>2262.2828888873669</v>
      </c>
      <c r="F61" s="147">
        <f t="shared" si="3"/>
        <v>-107602.00554015962</v>
      </c>
      <c r="G61" s="147">
        <f t="shared" si="3"/>
        <v>0</v>
      </c>
      <c r="H61" s="147">
        <f t="shared" si="3"/>
        <v>-1521907.28</v>
      </c>
      <c r="I61" s="147">
        <f t="shared" si="3"/>
        <v>2316201768916.9985</v>
      </c>
      <c r="J61" s="147">
        <f t="shared" si="3"/>
        <v>0</v>
      </c>
      <c r="K61" s="147">
        <f t="shared" si="3"/>
        <v>0</v>
      </c>
      <c r="L61" s="147">
        <f t="shared" si="3"/>
        <v>0</v>
      </c>
      <c r="M61" s="147">
        <f t="shared" si="3"/>
        <v>0</v>
      </c>
      <c r="N61" s="147">
        <f t="shared" si="3"/>
        <v>0</v>
      </c>
      <c r="O61" s="147">
        <f t="shared" si="3"/>
        <v>0</v>
      </c>
      <c r="P61" s="147">
        <f t="shared" si="3"/>
        <v>0</v>
      </c>
      <c r="Q61" s="147">
        <f t="shared" si="3"/>
        <v>0</v>
      </c>
      <c r="R61" s="17"/>
      <c r="S61" s="17"/>
      <c r="T61" s="17"/>
      <c r="U61" s="19"/>
    </row>
    <row r="62" spans="1:21">
      <c r="A62" s="20"/>
      <c r="B62" s="162" t="s">
        <v>98</v>
      </c>
      <c r="C62" s="161" t="s">
        <v>42</v>
      </c>
      <c r="D62" s="161" t="s">
        <v>43</v>
      </c>
      <c r="E62" s="161" t="s">
        <v>57</v>
      </c>
      <c r="F62" s="161" t="s">
        <v>66</v>
      </c>
      <c r="G62" s="161" t="s">
        <v>69</v>
      </c>
      <c r="H62" s="161" t="s">
        <v>44</v>
      </c>
      <c r="I62" s="161" t="s">
        <v>45</v>
      </c>
      <c r="J62" s="161" t="s">
        <v>92</v>
      </c>
      <c r="K62" s="161" t="s">
        <v>1</v>
      </c>
      <c r="L62" s="161" t="s">
        <v>2</v>
      </c>
      <c r="M62" s="161" t="s">
        <v>93</v>
      </c>
      <c r="N62" s="161" t="s">
        <v>94</v>
      </c>
      <c r="O62" s="161" t="s">
        <v>95</v>
      </c>
      <c r="P62" s="161" t="s">
        <v>101</v>
      </c>
      <c r="Q62" s="161" t="s">
        <v>102</v>
      </c>
      <c r="R62" s="162"/>
      <c r="S62" s="162"/>
      <c r="T62" s="162"/>
      <c r="U62" s="161"/>
    </row>
    <row r="63" spans="1:21">
      <c r="A63" s="20"/>
      <c r="B63" s="161">
        <v>1513.7596820708225</v>
      </c>
      <c r="C63" s="161">
        <v>2.8574060064228235E-3</v>
      </c>
      <c r="D63" s="161">
        <v>-2.4358801166213513E-5</v>
      </c>
      <c r="E63" s="161">
        <v>-2.1778378137189959E-6</v>
      </c>
      <c r="F63" s="161">
        <v>4.2532400618145602E-8</v>
      </c>
      <c r="G63" s="161">
        <v>-1.3313424974722076E-3</v>
      </c>
      <c r="H63" s="161">
        <v>2.9564343261550275E-9</v>
      </c>
      <c r="I63" s="161">
        <v>-6.2514061745902596E-15</v>
      </c>
      <c r="J63" s="161">
        <v>-9.6483615553687575E-4</v>
      </c>
      <c r="K63" s="161">
        <v>-1.0295053877123486E-3</v>
      </c>
      <c r="L63" s="161">
        <v>-1.1172657259909821E-3</v>
      </c>
      <c r="M63" s="161">
        <v>1.4206266160863793E-3</v>
      </c>
      <c r="N63" s="161">
        <v>7.3944560797347552E-4</v>
      </c>
      <c r="O63" s="161">
        <v>1.8855753162174095E-6</v>
      </c>
      <c r="P63" s="161">
        <v>-7.3177307128577469E-10</v>
      </c>
      <c r="Q63" s="161">
        <v>-1.9969639879128834E-10</v>
      </c>
      <c r="R63" s="162"/>
      <c r="S63" s="162"/>
      <c r="T63" s="162"/>
      <c r="U63" s="161"/>
    </row>
    <row r="64" spans="1:21">
      <c r="A64" s="20"/>
      <c r="B64" s="161">
        <v>-1.326218135230242</v>
      </c>
      <c r="C64" s="161">
        <v>-2.4358801166213513E-5</v>
      </c>
      <c r="D64" s="161">
        <v>6.4676618389116266E-6</v>
      </c>
      <c r="E64" s="161">
        <v>7.1897724048298776E-8</v>
      </c>
      <c r="F64" s="161">
        <v>-6.9037306516207226E-9</v>
      </c>
      <c r="G64" s="161">
        <v>5.8166797017842031E-6</v>
      </c>
      <c r="H64" s="161">
        <v>-3.3109291466459662E-12</v>
      </c>
      <c r="I64" s="161">
        <v>-8.6453071867476054E-18</v>
      </c>
      <c r="J64" s="161">
        <v>-1.0753579506037897E-5</v>
      </c>
      <c r="K64" s="161">
        <v>-4.7442156251341244E-8</v>
      </c>
      <c r="L64" s="161">
        <v>-2.68670626330077E-6</v>
      </c>
      <c r="M64" s="161">
        <v>-1.2392385215178982E-6</v>
      </c>
      <c r="N64" s="161">
        <v>1.4098024246630827E-5</v>
      </c>
      <c r="O64" s="161">
        <v>-1.6821290856343162E-6</v>
      </c>
      <c r="P64" s="161">
        <v>-1.6255811611641029E-11</v>
      </c>
      <c r="Q64" s="161">
        <v>3.9787555755977929E-11</v>
      </c>
      <c r="R64" s="162"/>
      <c r="S64" s="162"/>
      <c r="T64" s="162"/>
      <c r="U64" s="161"/>
    </row>
    <row r="65" spans="1:21">
      <c r="A65" s="20"/>
      <c r="B65" s="161">
        <v>-3.5511291239152601E-2</v>
      </c>
      <c r="C65" s="161">
        <v>-2.1778378137189959E-6</v>
      </c>
      <c r="D65" s="161">
        <v>7.1897724048298776E-8</v>
      </c>
      <c r="E65" s="161">
        <v>5.1977802627637772E-9</v>
      </c>
      <c r="F65" s="161">
        <v>-1.2214026753080046E-10</v>
      </c>
      <c r="G65" s="161">
        <v>1.3132072602919791E-7</v>
      </c>
      <c r="H65" s="161">
        <v>-1.0772925706402261E-12</v>
      </c>
      <c r="I65" s="161">
        <v>2.557310286058208E-19</v>
      </c>
      <c r="J65" s="161">
        <v>-5.8080752364736694E-7</v>
      </c>
      <c r="K65" s="161">
        <v>-1.6095282080677303E-7</v>
      </c>
      <c r="L65" s="161">
        <v>3.0623021164373793E-7</v>
      </c>
      <c r="M65" s="161">
        <v>-4.5030769811660174E-7</v>
      </c>
      <c r="N65" s="161">
        <v>5.9085109368011491E-7</v>
      </c>
      <c r="O65" s="161">
        <v>1.2028399122860292E-9</v>
      </c>
      <c r="P65" s="161">
        <v>1.1966813917540038E-12</v>
      </c>
      <c r="Q65" s="161">
        <v>4.2180211908547419E-13</v>
      </c>
      <c r="R65" s="162"/>
      <c r="S65" s="162"/>
      <c r="T65" s="162"/>
      <c r="U65" s="161"/>
    </row>
    <row r="66" spans="1:21">
      <c r="A66" s="20"/>
      <c r="B66" s="161">
        <v>-2.4940686195950908E-3</v>
      </c>
      <c r="C66" s="161">
        <v>4.2532400618145602E-8</v>
      </c>
      <c r="D66" s="161">
        <v>-6.9037306516207226E-9</v>
      </c>
      <c r="E66" s="161">
        <v>-1.2214026753080046E-10</v>
      </c>
      <c r="F66" s="161">
        <v>1.0014233093528033E-11</v>
      </c>
      <c r="G66" s="161">
        <v>-7.4037908059217967E-9</v>
      </c>
      <c r="H66" s="161">
        <v>2.8320208896072877E-14</v>
      </c>
      <c r="I66" s="161">
        <v>1.7545442685081398E-21</v>
      </c>
      <c r="J66" s="161">
        <v>7.8388290553438688E-9</v>
      </c>
      <c r="K66" s="161">
        <v>3.2690081608329692E-10</v>
      </c>
      <c r="L66" s="161">
        <v>-1.5709763094309035E-9</v>
      </c>
      <c r="M66" s="161">
        <v>1.598290248705222E-8</v>
      </c>
      <c r="N66" s="161">
        <v>-7.2601989777621284E-9</v>
      </c>
      <c r="O66" s="161">
        <v>3.7905272241821922E-11</v>
      </c>
      <c r="P66" s="161">
        <v>-2.9610147041620331E-14</v>
      </c>
      <c r="Q66" s="161">
        <v>-5.5798404987732269E-14</v>
      </c>
      <c r="R66" s="162"/>
      <c r="S66" s="162"/>
      <c r="T66" s="162"/>
      <c r="U66" s="161"/>
    </row>
    <row r="67" spans="1:21">
      <c r="A67" s="20"/>
      <c r="B67" s="161">
        <v>87.311347746416018</v>
      </c>
      <c r="C67" s="161">
        <v>-1.3313424974722076E-3</v>
      </c>
      <c r="D67" s="161">
        <v>5.8166797017842031E-6</v>
      </c>
      <c r="E67" s="161">
        <v>1.3132072602919791E-7</v>
      </c>
      <c r="F67" s="161">
        <v>-7.4037908059217967E-9</v>
      </c>
      <c r="G67" s="161">
        <v>2.3400799119147296E-3</v>
      </c>
      <c r="H67" s="161">
        <v>-3.9060478483143291E-9</v>
      </c>
      <c r="I67" s="161">
        <v>-1.8846681141925707E-16</v>
      </c>
      <c r="J67" s="161">
        <v>2.5926878164432251E-4</v>
      </c>
      <c r="K67" s="161">
        <v>1.5164426682437158E-4</v>
      </c>
      <c r="L67" s="161">
        <v>2.3881251881120133E-6</v>
      </c>
      <c r="M67" s="161">
        <v>-3.7096653161051068E-4</v>
      </c>
      <c r="N67" s="161">
        <v>6.4317459323405863E-5</v>
      </c>
      <c r="O67" s="161">
        <v>-1.5946886755734513E-6</v>
      </c>
      <c r="P67" s="161">
        <v>-1.2219625586105985E-10</v>
      </c>
      <c r="Q67" s="161">
        <v>3.6113432621227481E-10</v>
      </c>
      <c r="R67" s="162"/>
      <c r="S67" s="162"/>
      <c r="T67" s="162"/>
      <c r="U67" s="161"/>
    </row>
    <row r="68" spans="1:21">
      <c r="A68" s="20"/>
      <c r="B68" s="161">
        <v>4.3467041654075676E-4</v>
      </c>
      <c r="C68" s="161">
        <v>2.9564343261550275E-9</v>
      </c>
      <c r="D68" s="161">
        <v>-3.3109291466459662E-12</v>
      </c>
      <c r="E68" s="161">
        <v>-1.0772925706402261E-12</v>
      </c>
      <c r="F68" s="161">
        <v>2.8320208896072877E-14</v>
      </c>
      <c r="G68" s="161">
        <v>-3.9060478483143291E-9</v>
      </c>
      <c r="H68" s="161">
        <v>3.0384109479685961E-14</v>
      </c>
      <c r="I68" s="161">
        <v>2.1025426657715766E-21</v>
      </c>
      <c r="J68" s="161">
        <v>-6.3890753106510141E-10</v>
      </c>
      <c r="K68" s="161">
        <v>-6.6702935421054941E-10</v>
      </c>
      <c r="L68" s="161">
        <v>-5.2460547485473883E-10</v>
      </c>
      <c r="M68" s="161">
        <v>1.0036976397068131E-9</v>
      </c>
      <c r="N68" s="161">
        <v>1.3528229585951082E-10</v>
      </c>
      <c r="O68" s="161">
        <v>-7.8107697373948629E-12</v>
      </c>
      <c r="P68" s="161">
        <v>-2.3886224992706461E-14</v>
      </c>
      <c r="Q68" s="161">
        <v>-2.4277719348794703E-14</v>
      </c>
      <c r="R68" s="162"/>
      <c r="S68" s="162"/>
      <c r="T68" s="162"/>
      <c r="U68" s="161"/>
    </row>
    <row r="69" spans="1:21">
      <c r="A69" s="20"/>
      <c r="B69" s="161">
        <v>1.2483737326833993E-10</v>
      </c>
      <c r="C69" s="161">
        <v>-6.2514061745902596E-15</v>
      </c>
      <c r="D69" s="161">
        <v>-8.6453071867476054E-18</v>
      </c>
      <c r="E69" s="161">
        <v>2.557310286058208E-19</v>
      </c>
      <c r="F69" s="161">
        <v>1.7545442685081398E-21</v>
      </c>
      <c r="G69" s="161">
        <v>-1.8846681141925707E-16</v>
      </c>
      <c r="H69" s="161">
        <v>2.1025426657715766E-21</v>
      </c>
      <c r="I69" s="161">
        <v>2.0100395418064676E-25</v>
      </c>
      <c r="J69" s="161">
        <v>8.7751113167145281E-16</v>
      </c>
      <c r="K69" s="161">
        <v>-5.8100727829514068E-16</v>
      </c>
      <c r="L69" s="161">
        <v>-1.4480471555378001E-15</v>
      </c>
      <c r="M69" s="161">
        <v>-4.4744126994887372E-16</v>
      </c>
      <c r="N69" s="161">
        <v>2.6828488111695545E-16</v>
      </c>
      <c r="O69" s="161">
        <v>4.6402044460744362E-17</v>
      </c>
      <c r="P69" s="161">
        <v>-3.4380560722562544E-21</v>
      </c>
      <c r="Q69" s="161">
        <v>-1.5896015533355803E-20</v>
      </c>
      <c r="R69" s="162"/>
      <c r="S69" s="162"/>
      <c r="T69" s="162"/>
      <c r="U69" s="161"/>
    </row>
    <row r="70" spans="1:21">
      <c r="A70" s="20"/>
      <c r="B70" s="161">
        <v>-172.3968125187221</v>
      </c>
      <c r="C70" s="161">
        <v>-9.6483615553687575E-4</v>
      </c>
      <c r="D70" s="161">
        <v>-1.0753579506037897E-5</v>
      </c>
      <c r="E70" s="161">
        <v>-5.8080752364736694E-7</v>
      </c>
      <c r="F70" s="161">
        <v>7.8388290553438688E-9</v>
      </c>
      <c r="G70" s="161">
        <v>2.5926878164432251E-4</v>
      </c>
      <c r="H70" s="161">
        <v>-6.3890753106510141E-10</v>
      </c>
      <c r="I70" s="161">
        <v>8.7751113167145281E-16</v>
      </c>
      <c r="J70" s="161">
        <v>3.3624233402028301E-3</v>
      </c>
      <c r="K70" s="161">
        <v>1.0702137542428565E-3</v>
      </c>
      <c r="L70" s="161">
        <v>9.8810444841306456E-4</v>
      </c>
      <c r="M70" s="161">
        <v>-3.2437526587889374E-3</v>
      </c>
      <c r="N70" s="161">
        <v>-3.3250050069690363E-3</v>
      </c>
      <c r="O70" s="161">
        <v>7.4283421951242015E-7</v>
      </c>
      <c r="P70" s="161">
        <v>2.0938341905793541E-10</v>
      </c>
      <c r="Q70" s="161">
        <v>1.0450640567461169E-10</v>
      </c>
      <c r="R70" s="162"/>
      <c r="S70" s="162"/>
      <c r="T70" s="162"/>
      <c r="U70" s="161"/>
    </row>
    <row r="71" spans="1:21">
      <c r="A71" s="20"/>
      <c r="B71" s="161">
        <v>-64.724856054024826</v>
      </c>
      <c r="C71" s="161">
        <v>-1.0295053877123486E-3</v>
      </c>
      <c r="D71" s="161">
        <v>-4.7442156251341244E-8</v>
      </c>
      <c r="E71" s="161">
        <v>-1.6095282080677303E-7</v>
      </c>
      <c r="F71" s="161">
        <v>3.2690081608329692E-10</v>
      </c>
      <c r="G71" s="161">
        <v>1.5164426682437158E-4</v>
      </c>
      <c r="H71" s="161">
        <v>-6.6702935421054941E-10</v>
      </c>
      <c r="I71" s="161">
        <v>-5.8100727829514068E-16</v>
      </c>
      <c r="J71" s="161">
        <v>1.0702137542428565E-3</v>
      </c>
      <c r="K71" s="161">
        <v>7.1565273069796997E-3</v>
      </c>
      <c r="L71" s="161">
        <v>1.023843759927186E-3</v>
      </c>
      <c r="M71" s="161">
        <v>-7.1086814925637159E-3</v>
      </c>
      <c r="N71" s="161">
        <v>-1.0518547307494348E-3</v>
      </c>
      <c r="O71" s="161">
        <v>-8.6609619487060028E-7</v>
      </c>
      <c r="P71" s="161">
        <v>2.1790860009943176E-9</v>
      </c>
      <c r="Q71" s="161">
        <v>4.9270559494069474E-10</v>
      </c>
      <c r="R71" s="162"/>
      <c r="S71" s="162"/>
      <c r="T71" s="162"/>
      <c r="U71" s="161"/>
    </row>
    <row r="72" spans="1:21">
      <c r="A72" s="20"/>
      <c r="B72" s="161">
        <v>-7.5139237175120206</v>
      </c>
      <c r="C72" s="161">
        <v>-1.1172657259909821E-3</v>
      </c>
      <c r="D72" s="161">
        <v>-2.68670626330077E-6</v>
      </c>
      <c r="E72" s="161">
        <v>3.0623021164373793E-7</v>
      </c>
      <c r="F72" s="161">
        <v>-1.5709763094309035E-9</v>
      </c>
      <c r="G72" s="161">
        <v>2.3881251881120133E-6</v>
      </c>
      <c r="H72" s="161">
        <v>-5.2460547485473883E-10</v>
      </c>
      <c r="I72" s="161">
        <v>-1.4480471555378001E-15</v>
      </c>
      <c r="J72" s="161">
        <v>9.8810444841306456E-4</v>
      </c>
      <c r="K72" s="161">
        <v>1.023843759927186E-3</v>
      </c>
      <c r="L72" s="161">
        <v>5.0719082305851785E-3</v>
      </c>
      <c r="M72" s="161">
        <v>-1.0622665046839564E-3</v>
      </c>
      <c r="N72" s="161">
        <v>-4.9607216061562836E-3</v>
      </c>
      <c r="O72" s="161">
        <v>4.5632144082008742E-6</v>
      </c>
      <c r="P72" s="161">
        <v>5.8667340906254866E-10</v>
      </c>
      <c r="Q72" s="161">
        <v>-1.8978744014751266E-10</v>
      </c>
      <c r="R72" s="162"/>
      <c r="S72" s="162"/>
      <c r="T72" s="162"/>
      <c r="U72" s="161"/>
    </row>
    <row r="73" spans="1:21">
      <c r="A73" s="20"/>
      <c r="B73" s="161">
        <v>108.33840265232618</v>
      </c>
      <c r="C73" s="161">
        <v>1.4206266160863793E-3</v>
      </c>
      <c r="D73" s="161">
        <v>-1.2392385215178982E-6</v>
      </c>
      <c r="E73" s="161">
        <v>-4.5030769811660174E-7</v>
      </c>
      <c r="F73" s="161">
        <v>1.598290248705222E-8</v>
      </c>
      <c r="G73" s="161">
        <v>-3.7096653161051068E-4</v>
      </c>
      <c r="H73" s="161">
        <v>1.0036976397068131E-9</v>
      </c>
      <c r="I73" s="161">
        <v>-4.4744126994887372E-16</v>
      </c>
      <c r="J73" s="161">
        <v>-3.2437526587889374E-3</v>
      </c>
      <c r="K73" s="161">
        <v>-7.1086814925637159E-3</v>
      </c>
      <c r="L73" s="161">
        <v>-1.0622665046839564E-3</v>
      </c>
      <c r="M73" s="161">
        <v>1.2935981716200948E-2</v>
      </c>
      <c r="N73" s="161">
        <v>3.210202467862743E-3</v>
      </c>
      <c r="O73" s="161">
        <v>-8.1694030226290899E-6</v>
      </c>
      <c r="P73" s="161">
        <v>-7.1877686012145673E-10</v>
      </c>
      <c r="Q73" s="161">
        <v>-3.1107721174129305E-10</v>
      </c>
      <c r="R73" s="162"/>
      <c r="S73" s="162"/>
      <c r="T73" s="162"/>
      <c r="U73" s="161"/>
    </row>
    <row r="74" spans="1:21">
      <c r="A74" s="20"/>
      <c r="B74" s="161">
        <v>30.029089019506316</v>
      </c>
      <c r="C74" s="161">
        <v>7.3944560797347552E-4</v>
      </c>
      <c r="D74" s="161">
        <v>1.4098024246630827E-5</v>
      </c>
      <c r="E74" s="161">
        <v>5.9085109368011491E-7</v>
      </c>
      <c r="F74" s="161">
        <v>-7.2601989777621284E-9</v>
      </c>
      <c r="G74" s="161">
        <v>6.4317459323405863E-5</v>
      </c>
      <c r="H74" s="161">
        <v>1.3528229585951082E-10</v>
      </c>
      <c r="I74" s="161">
        <v>2.6828488111695545E-16</v>
      </c>
      <c r="J74" s="161">
        <v>-3.3250050069690363E-3</v>
      </c>
      <c r="K74" s="161">
        <v>-1.0518547307494348E-3</v>
      </c>
      <c r="L74" s="161">
        <v>-4.9607216061562836E-3</v>
      </c>
      <c r="M74" s="161">
        <v>3.210202467862743E-3</v>
      </c>
      <c r="N74" s="161">
        <v>9.4660975290365781E-3</v>
      </c>
      <c r="O74" s="161">
        <v>-7.6581047060303148E-6</v>
      </c>
      <c r="P74" s="161">
        <v>-3.2635585202178614E-10</v>
      </c>
      <c r="Q74" s="161">
        <v>-1.6827741121128297E-9</v>
      </c>
      <c r="R74" s="162"/>
      <c r="S74" s="162"/>
      <c r="T74" s="162"/>
      <c r="U74" s="161"/>
    </row>
    <row r="75" spans="1:21">
      <c r="A75" s="20"/>
      <c r="B75" s="161">
        <v>-0.61706942627301054</v>
      </c>
      <c r="C75" s="161">
        <v>1.8855753162174095E-6</v>
      </c>
      <c r="D75" s="161">
        <v>-1.6821290856343162E-6</v>
      </c>
      <c r="E75" s="161">
        <v>1.2028399122860292E-9</v>
      </c>
      <c r="F75" s="161">
        <v>3.7905272241821922E-11</v>
      </c>
      <c r="G75" s="161">
        <v>-1.5946886755734513E-6</v>
      </c>
      <c r="H75" s="161">
        <v>-7.8107697373948629E-12</v>
      </c>
      <c r="I75" s="161">
        <v>4.6402044460744362E-17</v>
      </c>
      <c r="J75" s="161">
        <v>7.4283421951242015E-7</v>
      </c>
      <c r="K75" s="161">
        <v>-8.6609619487060028E-7</v>
      </c>
      <c r="L75" s="161">
        <v>4.5632144082008742E-6</v>
      </c>
      <c r="M75" s="161">
        <v>-8.1694030226290899E-6</v>
      </c>
      <c r="N75" s="161">
        <v>-7.6581047060303148E-6</v>
      </c>
      <c r="O75" s="161">
        <v>3.3145379300032602E-6</v>
      </c>
      <c r="P75" s="161">
        <v>3.3968483550216313E-11</v>
      </c>
      <c r="Q75" s="161">
        <v>1.9724191114649042E-11</v>
      </c>
      <c r="R75" s="162"/>
      <c r="S75" s="162"/>
      <c r="T75" s="162"/>
      <c r="U75" s="161"/>
    </row>
    <row r="76" spans="1:21">
      <c r="A76" s="20"/>
      <c r="B76" s="161">
        <v>5.2166215771119384E-5</v>
      </c>
      <c r="C76" s="161">
        <v>-7.3177307128577469E-10</v>
      </c>
      <c r="D76" s="161">
        <v>-1.6255811611641029E-11</v>
      </c>
      <c r="E76" s="161">
        <v>1.1966813917540038E-12</v>
      </c>
      <c r="F76" s="161">
        <v>-2.9610147041620331E-14</v>
      </c>
      <c r="G76" s="161">
        <v>-1.2219625586105985E-10</v>
      </c>
      <c r="H76" s="161">
        <v>-2.3886224992706461E-14</v>
      </c>
      <c r="I76" s="161">
        <v>-3.4380560722562544E-21</v>
      </c>
      <c r="J76" s="161">
        <v>2.0938341905793541E-10</v>
      </c>
      <c r="K76" s="161">
        <v>2.1790860009943176E-9</v>
      </c>
      <c r="L76" s="161">
        <v>5.8667340906254866E-10</v>
      </c>
      <c r="M76" s="161">
        <v>-7.1877686012145673E-10</v>
      </c>
      <c r="N76" s="161">
        <v>-3.2635585202178614E-10</v>
      </c>
      <c r="O76" s="161">
        <v>3.3968483550216313E-11</v>
      </c>
      <c r="P76" s="161">
        <v>9.5570369955632241E-14</v>
      </c>
      <c r="Q76" s="161">
        <v>2.3928840566036009E-14</v>
      </c>
      <c r="R76" s="162"/>
      <c r="S76" s="162"/>
      <c r="T76" s="162"/>
      <c r="U76" s="161"/>
    </row>
    <row r="77" spans="1:21">
      <c r="A77" s="20"/>
      <c r="B77" s="161">
        <v>-9.316810314959199E-5</v>
      </c>
      <c r="C77" s="161">
        <v>-1.9969639879128834E-10</v>
      </c>
      <c r="D77" s="161">
        <v>3.9787555755977929E-11</v>
      </c>
      <c r="E77" s="161">
        <v>4.2180211908547419E-13</v>
      </c>
      <c r="F77" s="161">
        <v>-5.5798404987732269E-14</v>
      </c>
      <c r="G77" s="161">
        <v>3.6113432621227481E-10</v>
      </c>
      <c r="H77" s="161">
        <v>-2.4277719348794703E-14</v>
      </c>
      <c r="I77" s="161">
        <v>-1.5896015533355803E-20</v>
      </c>
      <c r="J77" s="161">
        <v>1.0450640567461169E-10</v>
      </c>
      <c r="K77" s="161">
        <v>4.9270559494069474E-10</v>
      </c>
      <c r="L77" s="161">
        <v>-1.8978744014751266E-10</v>
      </c>
      <c r="M77" s="161">
        <v>-3.1107721174129305E-10</v>
      </c>
      <c r="N77" s="161">
        <v>-1.6827741121128297E-9</v>
      </c>
      <c r="O77" s="161">
        <v>1.9724191114649042E-11</v>
      </c>
      <c r="P77" s="161">
        <v>2.3928840566036009E-14</v>
      </c>
      <c r="Q77" s="161">
        <v>6.3629922441112822E-14</v>
      </c>
      <c r="R77" s="162"/>
      <c r="S77" s="162"/>
      <c r="T77" s="162"/>
      <c r="U77" s="161"/>
    </row>
    <row r="78" spans="1:21">
      <c r="A78" s="17"/>
      <c r="B78" s="161"/>
      <c r="C78" s="161"/>
      <c r="D78" s="161"/>
      <c r="E78" s="161"/>
      <c r="F78" s="161"/>
      <c r="G78" s="161"/>
      <c r="H78" s="161"/>
      <c r="I78" s="161"/>
      <c r="J78" s="161"/>
      <c r="K78" s="161"/>
      <c r="L78" s="161"/>
      <c r="M78" s="161"/>
      <c r="N78" s="161"/>
      <c r="O78" s="161"/>
      <c r="P78" s="161"/>
      <c r="Q78" s="161"/>
      <c r="R78" s="162"/>
      <c r="S78" s="162"/>
      <c r="T78" s="162"/>
      <c r="U78" s="161"/>
    </row>
    <row r="79" spans="1:21">
      <c r="A79" s="17" t="s">
        <v>103</v>
      </c>
      <c r="B79" s="162" t="s">
        <v>97</v>
      </c>
      <c r="C79" s="147">
        <f t="shared" ref="C79:M79" si="4">IF(C80="B0",$E$2,
IF(C80="agec",$F$2,
IF(C80="agec2",$G$2,
IF(C80="agec3",$H$2,
IF(C80="sexq",$I$2,
IF(C80="tivc",$J$2,
IF(C80="tivc2",$K$2,
IF(C80="tivc3",$L$2,
IF(C80="MFSq",$M$2,
IF(C80="GE",$N$2,
IF(C80="Philips",$O$2,
IF(C80="GE_X_MFSq",$P$2,
IF(C80="Philips_X_MFSq",$Q$2,
IF(C80="tivc_X_MFSq",$R$2,
IF(C80="agec_X_sexq",$S$2,
IF(C80="tivc_X_GE",$T$2,
IF(C80="tivc_X_Philips",$U$2, "Error"
)))))))))))))))))</f>
        <v>1</v>
      </c>
      <c r="D79" s="147">
        <f t="shared" si="4"/>
        <v>-47.563461699999998</v>
      </c>
      <c r="E79" s="147">
        <f t="shared" si="4"/>
        <v>2262.2828888873669</v>
      </c>
      <c r="F79" s="147">
        <f t="shared" si="4"/>
        <v>-107602.00554015962</v>
      </c>
      <c r="G79" s="147">
        <f t="shared" si="4"/>
        <v>0</v>
      </c>
      <c r="H79" s="147">
        <f t="shared" si="4"/>
        <v>-1521907.28</v>
      </c>
      <c r="I79" s="147">
        <f t="shared" si="4"/>
        <v>0</v>
      </c>
      <c r="J79" s="147">
        <f t="shared" si="4"/>
        <v>0</v>
      </c>
      <c r="K79" s="147">
        <f t="shared" si="4"/>
        <v>0</v>
      </c>
      <c r="L79" s="147">
        <f t="shared" si="4"/>
        <v>0</v>
      </c>
      <c r="M79" s="147">
        <f t="shared" si="4"/>
        <v>0</v>
      </c>
      <c r="N79" s="165"/>
      <c r="O79" s="165"/>
      <c r="P79" s="165"/>
      <c r="Q79" s="165"/>
      <c r="R79" s="165"/>
      <c r="S79" s="162"/>
      <c r="T79" s="162"/>
      <c r="U79" s="161"/>
    </row>
    <row r="80" spans="1:21">
      <c r="A80" s="20"/>
      <c r="B80" s="162" t="s">
        <v>98</v>
      </c>
      <c r="C80" s="161" t="s">
        <v>42</v>
      </c>
      <c r="D80" s="161" t="s">
        <v>43</v>
      </c>
      <c r="E80" s="161" t="s">
        <v>57</v>
      </c>
      <c r="F80" s="161" t="s">
        <v>66</v>
      </c>
      <c r="G80" s="161" t="s">
        <v>69</v>
      </c>
      <c r="H80" s="161" t="s">
        <v>44</v>
      </c>
      <c r="I80" s="161" t="s">
        <v>92</v>
      </c>
      <c r="J80" s="161" t="s">
        <v>1</v>
      </c>
      <c r="K80" s="161" t="s">
        <v>2</v>
      </c>
      <c r="L80" s="161" t="s">
        <v>93</v>
      </c>
      <c r="M80" s="161" t="s">
        <v>94</v>
      </c>
      <c r="N80" s="162"/>
      <c r="O80" s="162"/>
      <c r="P80" s="162"/>
      <c r="Q80" s="162"/>
      <c r="R80" s="162"/>
      <c r="S80" s="162"/>
      <c r="T80" s="162"/>
      <c r="U80" s="161"/>
    </row>
    <row r="81" spans="1:21">
      <c r="A81" s="19"/>
      <c r="B81" s="161">
        <v>1531.1594856291267</v>
      </c>
      <c r="C81" s="161">
        <v>2.6557280106215041E-3</v>
      </c>
      <c r="D81" s="161">
        <v>-2.2476140048636817E-5</v>
      </c>
      <c r="E81" s="161">
        <v>-2.1586290907203789E-6</v>
      </c>
      <c r="F81" s="161">
        <v>4.1907990141277748E-8</v>
      </c>
      <c r="G81" s="161">
        <v>-1.3428104138953538E-3</v>
      </c>
      <c r="H81" s="161">
        <v>2.6665468737186752E-9</v>
      </c>
      <c r="I81" s="161">
        <v>-9.3511299174740858E-4</v>
      </c>
      <c r="J81" s="161">
        <v>-1.0372184554330631E-3</v>
      </c>
      <c r="K81" s="161">
        <v>-1.187336295817785E-3</v>
      </c>
      <c r="L81" s="161">
        <v>1.4097751079949741E-3</v>
      </c>
      <c r="M81" s="161">
        <v>7.5571213021521889E-4</v>
      </c>
      <c r="N81" s="17"/>
      <c r="O81" s="17"/>
      <c r="P81" s="17"/>
      <c r="Q81" s="161"/>
      <c r="R81" s="161"/>
      <c r="S81" s="162"/>
      <c r="T81" s="162"/>
      <c r="U81" s="161"/>
    </row>
    <row r="82" spans="1:21">
      <c r="A82" s="20"/>
      <c r="B82" s="161">
        <v>-0.88905570598611461</v>
      </c>
      <c r="C82" s="161">
        <v>-2.2476140048636817E-5</v>
      </c>
      <c r="D82" s="161">
        <v>5.5705113595154819E-6</v>
      </c>
      <c r="E82" s="161">
        <v>7.2222373530442988E-8</v>
      </c>
      <c r="F82" s="161">
        <v>-6.8342143746764709E-9</v>
      </c>
      <c r="G82" s="161">
        <v>4.8366648944580946E-6</v>
      </c>
      <c r="H82" s="161">
        <v>8.5968916834207175E-12</v>
      </c>
      <c r="I82" s="161">
        <v>-1.044198889223992E-5</v>
      </c>
      <c r="J82" s="161">
        <v>-1.009367176914267E-6</v>
      </c>
      <c r="K82" s="161">
        <v>3.6604734506406245E-7</v>
      </c>
      <c r="L82" s="161">
        <v>-4.8828179790977368E-6</v>
      </c>
      <c r="M82" s="161">
        <v>1.1073302395562279E-5</v>
      </c>
      <c r="N82" s="162"/>
      <c r="O82" s="162"/>
      <c r="P82" s="162"/>
      <c r="Q82" s="162"/>
      <c r="R82" s="162"/>
      <c r="S82" s="162"/>
      <c r="T82" s="162"/>
      <c r="U82" s="161"/>
    </row>
    <row r="83" spans="1:21">
      <c r="A83" s="20"/>
      <c r="B83" s="161">
        <v>6.0577725750260679E-3</v>
      </c>
      <c r="C83" s="161">
        <v>-2.1586290907203789E-6</v>
      </c>
      <c r="D83" s="161">
        <v>7.2222373530442988E-8</v>
      </c>
      <c r="E83" s="161">
        <v>5.1582427330994662E-9</v>
      </c>
      <c r="F83" s="161">
        <v>-1.213752700509574E-10</v>
      </c>
      <c r="G83" s="161">
        <v>1.3951366436316753E-7</v>
      </c>
      <c r="H83" s="161">
        <v>-7.4025860673006255E-13</v>
      </c>
      <c r="I83" s="161">
        <v>-5.7369884209965739E-7</v>
      </c>
      <c r="J83" s="161">
        <v>-1.7174066119831137E-7</v>
      </c>
      <c r="K83" s="161">
        <v>3.137431214861608E-7</v>
      </c>
      <c r="L83" s="161">
        <v>-4.5213081583120492E-7</v>
      </c>
      <c r="M83" s="161">
        <v>5.8033314191006281E-7</v>
      </c>
      <c r="N83" s="162"/>
      <c r="O83" s="162"/>
      <c r="P83" s="162"/>
      <c r="Q83" s="162"/>
      <c r="R83" s="162"/>
      <c r="S83" s="162"/>
      <c r="T83" s="162"/>
      <c r="U83" s="161"/>
    </row>
    <row r="84" spans="1:21">
      <c r="A84" s="20"/>
      <c r="B84" s="161">
        <v>-3.0230618046475934E-3</v>
      </c>
      <c r="C84" s="161">
        <v>4.1907990141277748E-8</v>
      </c>
      <c r="D84" s="161">
        <v>-6.8342143746764709E-9</v>
      </c>
      <c r="E84" s="161">
        <v>-1.213752700509574E-10</v>
      </c>
      <c r="F84" s="161">
        <v>9.9361537546058414E-12</v>
      </c>
      <c r="G84" s="161">
        <v>-7.3357968807354947E-9</v>
      </c>
      <c r="H84" s="161">
        <v>6.2086308811838285E-15</v>
      </c>
      <c r="I84" s="161">
        <v>7.6923399465874187E-9</v>
      </c>
      <c r="J84" s="161">
        <v>1.603643844088902E-9</v>
      </c>
      <c r="K84" s="161">
        <v>-2.3987228561085996E-9</v>
      </c>
      <c r="L84" s="161">
        <v>1.5193743707762219E-8</v>
      </c>
      <c r="M84" s="161">
        <v>-7.6506793499253466E-9</v>
      </c>
      <c r="N84" s="162"/>
      <c r="O84" s="162"/>
      <c r="P84" s="162"/>
      <c r="Q84" s="162"/>
      <c r="R84" s="162"/>
      <c r="S84" s="162"/>
      <c r="T84" s="162"/>
      <c r="U84" s="161"/>
    </row>
    <row r="85" spans="1:21">
      <c r="A85" s="20"/>
      <c r="B85" s="161">
        <v>101.37037387594486</v>
      </c>
      <c r="C85" s="161">
        <v>-1.3428104138953538E-3</v>
      </c>
      <c r="D85" s="161">
        <v>4.8366648944580946E-6</v>
      </c>
      <c r="E85" s="161">
        <v>1.3951366436316753E-7</v>
      </c>
      <c r="F85" s="161">
        <v>-7.3357968807354947E-9</v>
      </c>
      <c r="G85" s="161">
        <v>2.3417675663873778E-3</v>
      </c>
      <c r="H85" s="161">
        <v>-3.8373494313673808E-9</v>
      </c>
      <c r="I85" s="161">
        <v>2.5354582612036969E-4</v>
      </c>
      <c r="J85" s="161">
        <v>1.581651887463037E-4</v>
      </c>
      <c r="K85" s="161">
        <v>3.4332381154618375E-5</v>
      </c>
      <c r="L85" s="161">
        <v>-3.655248090339318E-4</v>
      </c>
      <c r="M85" s="161">
        <v>5.5862197055131749E-5</v>
      </c>
      <c r="N85" s="162"/>
      <c r="O85" s="162"/>
      <c r="P85" s="162"/>
      <c r="Q85" s="162"/>
      <c r="R85" s="162"/>
      <c r="S85" s="162"/>
      <c r="T85" s="162"/>
      <c r="U85" s="161"/>
    </row>
    <row r="86" spans="1:21">
      <c r="A86" s="20"/>
      <c r="B86" s="161">
        <v>3.819193644642867E-4</v>
      </c>
      <c r="C86" s="161">
        <v>2.6665468737186752E-9</v>
      </c>
      <c r="D86" s="161">
        <v>8.5968916834207175E-12</v>
      </c>
      <c r="E86" s="161">
        <v>-7.4025860673006255E-13</v>
      </c>
      <c r="F86" s="161">
        <v>6.2086308811838285E-15</v>
      </c>
      <c r="G86" s="161">
        <v>-3.8373494313673808E-9</v>
      </c>
      <c r="H86" s="161">
        <v>1.8659865266409717E-14</v>
      </c>
      <c r="I86" s="161">
        <v>-5.4987920792978661E-10</v>
      </c>
      <c r="J86" s="161">
        <v>-1.8005925457214045E-10</v>
      </c>
      <c r="K86" s="161">
        <v>-6.562375198287211E-10</v>
      </c>
      <c r="L86" s="161">
        <v>8.0006043684916898E-10</v>
      </c>
      <c r="M86" s="161">
        <v>-3.2338495666975472E-10</v>
      </c>
      <c r="N86" s="162"/>
      <c r="O86" s="162"/>
      <c r="P86" s="162"/>
      <c r="Q86" s="162"/>
      <c r="R86" s="162"/>
      <c r="S86" s="162"/>
      <c r="T86" s="162"/>
      <c r="U86" s="161"/>
    </row>
    <row r="87" spans="1:21">
      <c r="A87" s="19"/>
      <c r="B87" s="161">
        <v>-79.372418697488357</v>
      </c>
      <c r="C87" s="161">
        <v>-9.3511299174740858E-4</v>
      </c>
      <c r="D87" s="161">
        <v>-1.044198889223992E-5</v>
      </c>
      <c r="E87" s="161">
        <v>-5.7369884209965739E-7</v>
      </c>
      <c r="F87" s="161">
        <v>7.6923399465874187E-9</v>
      </c>
      <c r="G87" s="161">
        <v>2.5354582612036969E-4</v>
      </c>
      <c r="H87" s="161">
        <v>-5.4987920792978661E-10</v>
      </c>
      <c r="I87" s="161">
        <v>3.3264705883895361E-3</v>
      </c>
      <c r="J87" s="161">
        <v>1.0653213405199941E-3</v>
      </c>
      <c r="K87" s="161">
        <v>9.9659229251470964E-4</v>
      </c>
      <c r="L87" s="161">
        <v>-3.2060540064788789E-3</v>
      </c>
      <c r="M87" s="161">
        <v>-3.293891010231522E-3</v>
      </c>
      <c r="N87" s="162"/>
      <c r="O87" s="162"/>
      <c r="P87" s="162"/>
      <c r="Q87" s="162"/>
      <c r="R87" s="162"/>
      <c r="S87" s="162"/>
      <c r="T87" s="162"/>
      <c r="U87" s="161"/>
    </row>
    <row r="88" spans="1:21">
      <c r="A88" s="19"/>
      <c r="B88" s="161">
        <v>39.401003835609444</v>
      </c>
      <c r="C88" s="161">
        <v>-1.0372184554330631E-3</v>
      </c>
      <c r="D88" s="161">
        <v>-1.009367176914267E-6</v>
      </c>
      <c r="E88" s="161">
        <v>-1.7174066119831137E-7</v>
      </c>
      <c r="F88" s="161">
        <v>1.603643844088902E-9</v>
      </c>
      <c r="G88" s="161">
        <v>1.581651887463037E-4</v>
      </c>
      <c r="H88" s="161">
        <v>-1.8005925457214045E-10</v>
      </c>
      <c r="I88" s="161">
        <v>1.0653213405199941E-3</v>
      </c>
      <c r="J88" s="161">
        <v>7.0658136432036923E-3</v>
      </c>
      <c r="K88" s="161">
        <v>1.0108015308746407E-3</v>
      </c>
      <c r="L88" s="161">
        <v>-7.0599468393557178E-3</v>
      </c>
      <c r="M88" s="161">
        <v>-1.0464004469380921E-3</v>
      </c>
      <c r="N88" s="162"/>
      <c r="O88" s="162"/>
      <c r="P88" s="162"/>
      <c r="Q88" s="162"/>
      <c r="R88" s="162"/>
      <c r="S88" s="162"/>
      <c r="T88" s="162"/>
      <c r="U88" s="161"/>
    </row>
    <row r="89" spans="1:21">
      <c r="A89" s="19"/>
      <c r="B89" s="161">
        <v>35.217648630066634</v>
      </c>
      <c r="C89" s="161">
        <v>-1.187336295817785E-3</v>
      </c>
      <c r="D89" s="161">
        <v>3.6604734506406245E-7</v>
      </c>
      <c r="E89" s="161">
        <v>3.137431214861608E-7</v>
      </c>
      <c r="F89" s="161">
        <v>-2.3987228561085996E-9</v>
      </c>
      <c r="G89" s="161">
        <v>3.4332381154618375E-5</v>
      </c>
      <c r="H89" s="161">
        <v>-6.562375198287211E-10</v>
      </c>
      <c r="I89" s="161">
        <v>9.9659229251470964E-4</v>
      </c>
      <c r="J89" s="161">
        <v>1.0108015308746407E-3</v>
      </c>
      <c r="K89" s="161">
        <v>5.2210823056072671E-3</v>
      </c>
      <c r="L89" s="161">
        <v>-1.0593529628171281E-3</v>
      </c>
      <c r="M89" s="161">
        <v>-5.1249669689366409E-3</v>
      </c>
      <c r="N89" s="162"/>
      <c r="O89" s="162"/>
      <c r="P89" s="162"/>
      <c r="Q89" s="162"/>
      <c r="R89" s="162"/>
      <c r="S89" s="162"/>
      <c r="T89" s="162"/>
      <c r="U89" s="161"/>
    </row>
    <row r="90" spans="1:21">
      <c r="A90" s="19"/>
      <c r="B90" s="161">
        <v>-46.1782079623014</v>
      </c>
      <c r="C90" s="161">
        <v>1.4097751079949741E-3</v>
      </c>
      <c r="D90" s="161">
        <v>-4.8828179790977368E-6</v>
      </c>
      <c r="E90" s="161">
        <v>-4.5213081583120492E-7</v>
      </c>
      <c r="F90" s="161">
        <v>1.5193743707762219E-8</v>
      </c>
      <c r="G90" s="161">
        <v>-3.655248090339318E-4</v>
      </c>
      <c r="H90" s="161">
        <v>8.0006043684916898E-10</v>
      </c>
      <c r="I90" s="161">
        <v>-3.2060540064788789E-3</v>
      </c>
      <c r="J90" s="161">
        <v>-7.0599468393557178E-3</v>
      </c>
      <c r="K90" s="161">
        <v>-1.0593529628171281E-3</v>
      </c>
      <c r="L90" s="161">
        <v>1.2854833339098107E-2</v>
      </c>
      <c r="M90" s="161">
        <v>3.1597571229143146E-3</v>
      </c>
      <c r="N90" s="162"/>
      <c r="O90" s="162"/>
      <c r="P90" s="162"/>
      <c r="Q90" s="162"/>
      <c r="R90" s="162"/>
      <c r="S90" s="162"/>
      <c r="T90" s="162"/>
      <c r="U90" s="161"/>
    </row>
    <row r="91" spans="1:21">
      <c r="A91" s="19"/>
      <c r="B91" s="161">
        <v>-80.905614011634796</v>
      </c>
      <c r="C91" s="161">
        <v>7.5571213021521889E-4</v>
      </c>
      <c r="D91" s="161">
        <v>1.1073302395562279E-5</v>
      </c>
      <c r="E91" s="161">
        <v>5.8033314191006281E-7</v>
      </c>
      <c r="F91" s="161">
        <v>-7.6506793499253466E-9</v>
      </c>
      <c r="G91" s="161">
        <v>5.5862197055131749E-5</v>
      </c>
      <c r="H91" s="161">
        <v>-3.2338495666975472E-10</v>
      </c>
      <c r="I91" s="161">
        <v>-3.293891010231522E-3</v>
      </c>
      <c r="J91" s="161">
        <v>-1.0464004469380921E-3</v>
      </c>
      <c r="K91" s="161">
        <v>-5.1249669689366409E-3</v>
      </c>
      <c r="L91" s="161">
        <v>3.1597571229143146E-3</v>
      </c>
      <c r="M91" s="161">
        <v>9.5256481584644372E-3</v>
      </c>
      <c r="N91" s="162"/>
      <c r="O91" s="162"/>
      <c r="P91" s="162"/>
      <c r="Q91" s="162"/>
      <c r="R91" s="162"/>
      <c r="S91" s="162"/>
      <c r="T91" s="162"/>
      <c r="U91" s="161"/>
    </row>
    <row r="92" spans="1:21">
      <c r="A92" s="19"/>
      <c r="B92" s="161"/>
      <c r="C92" s="161"/>
      <c r="D92" s="161"/>
      <c r="E92" s="161"/>
      <c r="F92" s="161"/>
      <c r="G92" s="161"/>
      <c r="H92" s="161"/>
      <c r="I92" s="161"/>
      <c r="J92" s="161"/>
      <c r="K92" s="161"/>
      <c r="L92" s="161"/>
      <c r="M92" s="161"/>
      <c r="N92" s="162"/>
      <c r="O92" s="162"/>
      <c r="P92" s="162"/>
      <c r="Q92" s="162"/>
      <c r="R92" s="162"/>
      <c r="S92" s="162"/>
      <c r="T92" s="162"/>
      <c r="U92" s="161"/>
    </row>
    <row r="93" spans="1:21">
      <c r="A93" s="19" t="s">
        <v>104</v>
      </c>
      <c r="B93" s="162" t="s">
        <v>97</v>
      </c>
      <c r="C93" s="147">
        <f t="shared" ref="C93:O93" si="5">IF(C94="B0",$E$2,
IF(C94="agec",$F$2,
IF(C94="agec2",$G$2,
IF(C94="agec3",$H$2,
IF(C94="sexq",$I$2,
IF(C94="tivc",$J$2,
IF(C94="tivc2",$K$2,
IF(C94="tivc3",$L$2,
IF(C94="MFSq",$M$2,
IF(C94="GE",$N$2,
IF(C94="Philips",$O$2,
IF(C94="GE_X_MFSq",$P$2,
IF(C94="Philips_X_MFSq",$Q$2,
IF(C94="tivc_X_MFSq",$R$2,
IF(C94="agec_X_sexq",$S$2,
IF(C94="tivc_X_GE",$T$2,
IF(C94="tivc_X_Philips",$U$2, "Error"
)))))))))))))))))</f>
        <v>1</v>
      </c>
      <c r="D93" s="147">
        <f t="shared" si="5"/>
        <v>-47.563461699999998</v>
      </c>
      <c r="E93" s="147">
        <f t="shared" si="5"/>
        <v>2262.2828888873669</v>
      </c>
      <c r="F93" s="147">
        <f t="shared" si="5"/>
        <v>-107602.00554015962</v>
      </c>
      <c r="G93" s="147">
        <f t="shared" si="5"/>
        <v>0</v>
      </c>
      <c r="H93" s="147">
        <f t="shared" si="5"/>
        <v>-1521907.28</v>
      </c>
      <c r="I93" s="147">
        <f t="shared" si="5"/>
        <v>2316201768916.9985</v>
      </c>
      <c r="J93" s="147">
        <f t="shared" si="5"/>
        <v>0</v>
      </c>
      <c r="K93" s="147">
        <f t="shared" si="5"/>
        <v>0</v>
      </c>
      <c r="L93" s="147">
        <f t="shared" si="5"/>
        <v>0</v>
      </c>
      <c r="M93" s="147">
        <f t="shared" si="5"/>
        <v>0</v>
      </c>
      <c r="N93" s="147">
        <f t="shared" si="5"/>
        <v>0</v>
      </c>
      <c r="O93" s="147">
        <f t="shared" si="5"/>
        <v>0</v>
      </c>
      <c r="P93" s="162"/>
      <c r="Q93" s="162"/>
      <c r="R93" s="162"/>
      <c r="S93" s="162"/>
      <c r="T93" s="162"/>
      <c r="U93" s="161"/>
    </row>
    <row r="94" spans="1:21">
      <c r="A94" s="19"/>
      <c r="B94" s="162" t="s">
        <v>98</v>
      </c>
      <c r="C94" s="161" t="s">
        <v>42</v>
      </c>
      <c r="D94" s="161" t="s">
        <v>43</v>
      </c>
      <c r="E94" s="161" t="s">
        <v>57</v>
      </c>
      <c r="F94" s="161" t="s">
        <v>66</v>
      </c>
      <c r="G94" s="161" t="s">
        <v>69</v>
      </c>
      <c r="H94" s="161" t="s">
        <v>44</v>
      </c>
      <c r="I94" s="161" t="s">
        <v>45</v>
      </c>
      <c r="J94" s="161" t="s">
        <v>92</v>
      </c>
      <c r="K94" s="161" t="s">
        <v>1</v>
      </c>
      <c r="L94" s="161" t="s">
        <v>2</v>
      </c>
      <c r="M94" s="161" t="s">
        <v>93</v>
      </c>
      <c r="N94" s="161" t="s">
        <v>94</v>
      </c>
      <c r="O94" s="161" t="s">
        <v>95</v>
      </c>
      <c r="P94" s="162"/>
      <c r="Q94" s="162"/>
      <c r="R94" s="162"/>
      <c r="S94" s="162"/>
      <c r="T94" s="162"/>
      <c r="U94" s="161"/>
    </row>
    <row r="95" spans="1:21">
      <c r="A95" s="19"/>
      <c r="B95" s="161">
        <v>21408.025920373741</v>
      </c>
      <c r="C95" s="161">
        <v>2.8589801474940171E-3</v>
      </c>
      <c r="D95" s="161">
        <v>-2.4361947651915574E-5</v>
      </c>
      <c r="E95" s="161">
        <v>-2.1591825042339921E-6</v>
      </c>
      <c r="F95" s="161">
        <v>4.2223360215864834E-8</v>
      </c>
      <c r="G95" s="161">
        <v>-1.3282883912223856E-3</v>
      </c>
      <c r="H95" s="161">
        <v>2.829872477255613E-9</v>
      </c>
      <c r="I95" s="161">
        <v>-6.8488629245743473E-15</v>
      </c>
      <c r="J95" s="161">
        <v>-9.5847205756667791E-4</v>
      </c>
      <c r="K95" s="161">
        <v>-1.0026550003925524E-3</v>
      </c>
      <c r="L95" s="161">
        <v>-1.1292430856746547E-3</v>
      </c>
      <c r="M95" s="161">
        <v>1.3989238447832941E-3</v>
      </c>
      <c r="N95" s="161">
        <v>7.520919169283273E-4</v>
      </c>
      <c r="O95" s="161">
        <v>1.7696435855883567E-6</v>
      </c>
      <c r="P95" s="162"/>
      <c r="Q95" s="162"/>
      <c r="R95" s="162"/>
      <c r="S95" s="162"/>
      <c r="T95" s="162"/>
      <c r="U95" s="161"/>
    </row>
    <row r="96" spans="1:21">
      <c r="A96" s="19"/>
      <c r="B96" s="161">
        <v>-11.512084798293607</v>
      </c>
      <c r="C96" s="161">
        <v>-2.4361947651915574E-5</v>
      </c>
      <c r="D96" s="161">
        <v>6.4085626764620807E-6</v>
      </c>
      <c r="E96" s="161">
        <v>7.166750215286267E-8</v>
      </c>
      <c r="F96" s="161">
        <v>-6.8404063612287361E-9</v>
      </c>
      <c r="G96" s="161">
        <v>5.3315065776939912E-6</v>
      </c>
      <c r="H96" s="161">
        <v>7.0873837462586558E-12</v>
      </c>
      <c r="I96" s="161">
        <v>7.79145574609812E-19</v>
      </c>
      <c r="J96" s="161">
        <v>-1.0448663041266855E-5</v>
      </c>
      <c r="K96" s="161">
        <v>-6.7216031942027811E-7</v>
      </c>
      <c r="L96" s="161">
        <v>-1.1973822122936841E-6</v>
      </c>
      <c r="M96" s="161">
        <v>-9.8281577808446315E-8</v>
      </c>
      <c r="N96" s="161">
        <v>1.3719690662150195E-5</v>
      </c>
      <c r="O96" s="161">
        <v>-1.6815364260205136E-6</v>
      </c>
      <c r="P96" s="165"/>
      <c r="Q96" s="165"/>
      <c r="R96" s="165"/>
      <c r="S96" s="162"/>
      <c r="T96" s="162"/>
      <c r="U96" s="161"/>
    </row>
    <row r="97" spans="1:21">
      <c r="A97" s="19"/>
      <c r="B97" s="161">
        <v>-1.1780070963309879</v>
      </c>
      <c r="C97" s="161">
        <v>-2.1591825042339921E-6</v>
      </c>
      <c r="D97" s="161">
        <v>7.166750215286267E-8</v>
      </c>
      <c r="E97" s="161">
        <v>5.1390485262610525E-9</v>
      </c>
      <c r="F97" s="161">
        <v>-1.2093236137300288E-10</v>
      </c>
      <c r="G97" s="161">
        <v>1.2727781042106072E-7</v>
      </c>
      <c r="H97" s="161">
        <v>-7.0137309603423153E-13</v>
      </c>
      <c r="I97" s="161">
        <v>4.4719194081067512E-19</v>
      </c>
      <c r="J97" s="161">
        <v>-5.6912161118496555E-7</v>
      </c>
      <c r="K97" s="161">
        <v>-1.8385458205355773E-7</v>
      </c>
      <c r="L97" s="161">
        <v>3.19164193561135E-7</v>
      </c>
      <c r="M97" s="161">
        <v>-4.3464143158401438E-7</v>
      </c>
      <c r="N97" s="161">
        <v>5.6137451133751204E-7</v>
      </c>
      <c r="O97" s="161">
        <v>8.3840892052612849E-10</v>
      </c>
      <c r="P97" s="162"/>
      <c r="Q97" s="162"/>
      <c r="R97" s="162"/>
      <c r="S97" s="162"/>
      <c r="T97" s="162"/>
      <c r="U97" s="161"/>
    </row>
    <row r="98" spans="1:21" s="166" customFormat="1">
      <c r="A98" s="19"/>
      <c r="B98" s="161">
        <v>1.1761116320751186E-2</v>
      </c>
      <c r="C98" s="161">
        <v>4.2223360215864834E-8</v>
      </c>
      <c r="D98" s="161">
        <v>-6.8404063612287361E-9</v>
      </c>
      <c r="E98" s="161">
        <v>-1.2093236137300288E-10</v>
      </c>
      <c r="F98" s="161">
        <v>9.9025453669539021E-12</v>
      </c>
      <c r="G98" s="161">
        <v>-6.9247408495154327E-9</v>
      </c>
      <c r="H98" s="161">
        <v>5.3400388163100291E-15</v>
      </c>
      <c r="I98" s="161">
        <v>-1.5615799601631724E-20</v>
      </c>
      <c r="J98" s="161">
        <v>7.4848176362502592E-9</v>
      </c>
      <c r="K98" s="161">
        <v>1.8167004279241274E-9</v>
      </c>
      <c r="L98" s="161">
        <v>-2.7225999203614045E-9</v>
      </c>
      <c r="M98" s="161">
        <v>1.4718561618421015E-8</v>
      </c>
      <c r="N98" s="161">
        <v>-7.009310924885507E-9</v>
      </c>
      <c r="O98" s="161">
        <v>6.4154421718338758E-11</v>
      </c>
      <c r="P98" s="17"/>
      <c r="Q98" s="17"/>
      <c r="R98" s="17"/>
      <c r="S98" s="17"/>
      <c r="T98" s="17"/>
      <c r="U98" s="19"/>
    </row>
    <row r="99" spans="1:21">
      <c r="A99" s="19"/>
      <c r="B99" s="161">
        <v>533.00169399132426</v>
      </c>
      <c r="C99" s="161">
        <v>-1.3282883912223856E-3</v>
      </c>
      <c r="D99" s="161">
        <v>5.3315065776939912E-6</v>
      </c>
      <c r="E99" s="161">
        <v>1.2727781042106072E-7</v>
      </c>
      <c r="F99" s="161">
        <v>-6.9247408495154327E-9</v>
      </c>
      <c r="G99" s="161">
        <v>2.3252102713507417E-3</v>
      </c>
      <c r="H99" s="161">
        <v>-3.835861643815849E-9</v>
      </c>
      <c r="I99" s="161">
        <v>2.4575739395401506E-16</v>
      </c>
      <c r="J99" s="161">
        <v>2.4366554621436809E-4</v>
      </c>
      <c r="K99" s="161">
        <v>1.5210306927444076E-4</v>
      </c>
      <c r="L99" s="161">
        <v>-4.1434638785926315E-6</v>
      </c>
      <c r="M99" s="161">
        <v>-3.5637352348422163E-4</v>
      </c>
      <c r="N99" s="161">
        <v>9.4343723677483052E-5</v>
      </c>
      <c r="O99" s="161">
        <v>-1.3921736396584616E-6</v>
      </c>
      <c r="P99" s="162"/>
      <c r="Q99" s="162"/>
      <c r="R99" s="162"/>
      <c r="S99" s="162"/>
      <c r="T99" s="162"/>
      <c r="U99" s="161"/>
    </row>
    <row r="100" spans="1:21">
      <c r="A100" s="19"/>
      <c r="B100" s="161">
        <v>9.5904773099507179E-3</v>
      </c>
      <c r="C100" s="161">
        <v>2.829872477255613E-9</v>
      </c>
      <c r="D100" s="161">
        <v>7.0873837462586558E-12</v>
      </c>
      <c r="E100" s="161">
        <v>-7.0137309603423153E-13</v>
      </c>
      <c r="F100" s="161">
        <v>5.3400388163100291E-15</v>
      </c>
      <c r="G100" s="161">
        <v>-3.835861643815849E-9</v>
      </c>
      <c r="H100" s="161">
        <v>1.8985718212231188E-14</v>
      </c>
      <c r="I100" s="161">
        <v>-7.002943443893851E-21</v>
      </c>
      <c r="J100" s="161">
        <v>-5.4090147258805302E-10</v>
      </c>
      <c r="K100" s="161">
        <v>-9.8894928802386464E-11</v>
      </c>
      <c r="L100" s="161">
        <v>-4.751293723241036E-10</v>
      </c>
      <c r="M100" s="161">
        <v>7.4163496355763032E-10</v>
      </c>
      <c r="N100" s="161">
        <v>-4.5455453371511015E-10</v>
      </c>
      <c r="O100" s="161">
        <v>2.2359457048058757E-12</v>
      </c>
      <c r="P100" s="162"/>
      <c r="Q100" s="162"/>
      <c r="R100" s="162"/>
      <c r="S100" s="162"/>
      <c r="T100" s="162"/>
      <c r="U100" s="161"/>
    </row>
    <row r="101" spans="1:21">
      <c r="A101" s="19"/>
      <c r="B101" s="161">
        <v>3.0103155080048756E-9</v>
      </c>
      <c r="C101" s="161">
        <v>-6.8488629245743473E-15</v>
      </c>
      <c r="D101" s="161">
        <v>7.79145574609812E-19</v>
      </c>
      <c r="E101" s="161">
        <v>4.4719194081067512E-19</v>
      </c>
      <c r="F101" s="161">
        <v>-1.5615799601631724E-20</v>
      </c>
      <c r="G101" s="161">
        <v>2.4575739395401506E-16</v>
      </c>
      <c r="H101" s="161">
        <v>-7.002943443893851E-21</v>
      </c>
      <c r="I101" s="161">
        <v>2.1186741746093478E-25</v>
      </c>
      <c r="J101" s="161">
        <v>9.0443862553290237E-16</v>
      </c>
      <c r="K101" s="161">
        <v>-9.2244203436277244E-16</v>
      </c>
      <c r="L101" s="161">
        <v>-1.0784350266799274E-15</v>
      </c>
      <c r="M101" s="161">
        <v>-2.9529958123747803E-16</v>
      </c>
      <c r="N101" s="161">
        <v>-5.4697893712849035E-16</v>
      </c>
      <c r="O101" s="161">
        <v>5.785790704981732E-17</v>
      </c>
      <c r="P101" s="162"/>
      <c r="Q101" s="162"/>
      <c r="R101" s="162"/>
      <c r="S101" s="162"/>
      <c r="T101" s="162"/>
      <c r="U101" s="161"/>
    </row>
    <row r="102" spans="1:21">
      <c r="A102" s="19"/>
      <c r="B102" s="161">
        <v>-69.105514038090291</v>
      </c>
      <c r="C102" s="161">
        <v>-9.5847205756667791E-4</v>
      </c>
      <c r="D102" s="161">
        <v>-1.0448663041266855E-5</v>
      </c>
      <c r="E102" s="161">
        <v>-5.6912161118496555E-7</v>
      </c>
      <c r="F102" s="161">
        <v>7.4848176362502592E-9</v>
      </c>
      <c r="G102" s="161">
        <v>2.4366554621436809E-4</v>
      </c>
      <c r="H102" s="161">
        <v>-5.4090147258805302E-10</v>
      </c>
      <c r="I102" s="161">
        <v>9.0443862553290237E-16</v>
      </c>
      <c r="J102" s="161">
        <v>3.3280786644720719E-3</v>
      </c>
      <c r="K102" s="161">
        <v>1.0644208662112216E-3</v>
      </c>
      <c r="L102" s="161">
        <v>9.8471776896257414E-4</v>
      </c>
      <c r="M102" s="161">
        <v>-3.2133320018568265E-3</v>
      </c>
      <c r="N102" s="161">
        <v>-3.2894423397994022E-3</v>
      </c>
      <c r="O102" s="161">
        <v>6.4278763572630158E-7</v>
      </c>
      <c r="P102" s="162"/>
      <c r="Q102" s="162"/>
      <c r="R102" s="162"/>
      <c r="S102" s="162"/>
      <c r="T102" s="162"/>
      <c r="U102" s="161"/>
    </row>
    <row r="103" spans="1:21">
      <c r="A103" s="19"/>
      <c r="B103" s="161">
        <v>-1152.7495588395354</v>
      </c>
      <c r="C103" s="161">
        <v>-1.0026550003925524E-3</v>
      </c>
      <c r="D103" s="161">
        <v>-6.7216031942027811E-7</v>
      </c>
      <c r="E103" s="161">
        <v>-1.8385458205355773E-7</v>
      </c>
      <c r="F103" s="161">
        <v>1.8167004279241274E-9</v>
      </c>
      <c r="G103" s="161">
        <v>1.5210306927444076E-4</v>
      </c>
      <c r="H103" s="161">
        <v>-9.8894928802386464E-11</v>
      </c>
      <c r="I103" s="161">
        <v>-9.2244203436277244E-16</v>
      </c>
      <c r="J103" s="161">
        <v>1.0644208662112216E-3</v>
      </c>
      <c r="K103" s="161">
        <v>7.0015807937785285E-3</v>
      </c>
      <c r="L103" s="161">
        <v>1.010988322424762E-3</v>
      </c>
      <c r="M103" s="161">
        <v>-6.9863729410754747E-3</v>
      </c>
      <c r="N103" s="161">
        <v>-1.0449047778952941E-3</v>
      </c>
      <c r="O103" s="161">
        <v>-1.4720974642567782E-6</v>
      </c>
      <c r="P103" s="162"/>
      <c r="Q103" s="162"/>
      <c r="R103" s="162"/>
      <c r="S103" s="162"/>
      <c r="T103" s="162"/>
      <c r="U103" s="161"/>
    </row>
    <row r="104" spans="1:21">
      <c r="A104" s="19"/>
      <c r="B104" s="161">
        <v>202.88717329843118</v>
      </c>
      <c r="C104" s="161">
        <v>-1.1292430856746547E-3</v>
      </c>
      <c r="D104" s="161">
        <v>-1.1973822122936841E-6</v>
      </c>
      <c r="E104" s="161">
        <v>3.19164193561135E-7</v>
      </c>
      <c r="F104" s="161">
        <v>-2.7225999203614045E-9</v>
      </c>
      <c r="G104" s="161">
        <v>-4.1434638785926315E-6</v>
      </c>
      <c r="H104" s="161">
        <v>-4.751293723241036E-10</v>
      </c>
      <c r="I104" s="161">
        <v>-1.0784350266799274E-15</v>
      </c>
      <c r="J104" s="161">
        <v>9.8471776896257414E-4</v>
      </c>
      <c r="K104" s="161">
        <v>1.010988322424762E-3</v>
      </c>
      <c r="L104" s="161">
        <v>5.031962781382673E-3</v>
      </c>
      <c r="M104" s="161">
        <v>-1.0603512951095017E-3</v>
      </c>
      <c r="N104" s="161">
        <v>-4.9327226384082773E-3</v>
      </c>
      <c r="O104" s="161">
        <v>4.3366925475954164E-6</v>
      </c>
      <c r="P104" s="162"/>
      <c r="Q104" s="162"/>
      <c r="R104" s="162"/>
      <c r="S104" s="162"/>
      <c r="T104" s="162"/>
      <c r="U104" s="161"/>
    </row>
    <row r="105" spans="1:21">
      <c r="A105" s="19"/>
      <c r="B105" s="161">
        <v>1303.710244556946</v>
      </c>
      <c r="C105" s="161">
        <v>1.3989238447832941E-3</v>
      </c>
      <c r="D105" s="161">
        <v>-9.8281577808446315E-8</v>
      </c>
      <c r="E105" s="161">
        <v>-4.3464143158401438E-7</v>
      </c>
      <c r="F105" s="161">
        <v>1.4718561618421015E-8</v>
      </c>
      <c r="G105" s="161">
        <v>-3.5637352348422163E-4</v>
      </c>
      <c r="H105" s="161">
        <v>7.4163496355763032E-10</v>
      </c>
      <c r="I105" s="161">
        <v>-2.9529958123747803E-16</v>
      </c>
      <c r="J105" s="161">
        <v>-3.2133320018568265E-3</v>
      </c>
      <c r="K105" s="161">
        <v>-6.9863729410754747E-3</v>
      </c>
      <c r="L105" s="161">
        <v>-1.0603512951095017E-3</v>
      </c>
      <c r="M105" s="161">
        <v>1.276945720854681E-2</v>
      </c>
      <c r="N105" s="161">
        <v>3.1800635351418071E-3</v>
      </c>
      <c r="O105" s="161">
        <v>-8.1693950841222654E-6</v>
      </c>
      <c r="P105" s="162"/>
      <c r="Q105" s="162"/>
      <c r="R105" s="162"/>
      <c r="S105" s="162"/>
      <c r="T105" s="162"/>
      <c r="U105" s="161"/>
    </row>
    <row r="106" spans="1:21">
      <c r="A106" s="19"/>
      <c r="B106" s="161">
        <v>-300.17410174396133</v>
      </c>
      <c r="C106" s="161">
        <v>7.520919169283273E-4</v>
      </c>
      <c r="D106" s="161">
        <v>1.3719690662150195E-5</v>
      </c>
      <c r="E106" s="161">
        <v>5.6137451133751204E-7</v>
      </c>
      <c r="F106" s="161">
        <v>-7.009310924885507E-9</v>
      </c>
      <c r="G106" s="161">
        <v>9.4343723677483052E-5</v>
      </c>
      <c r="H106" s="161">
        <v>-4.5455453371511015E-10</v>
      </c>
      <c r="I106" s="161">
        <v>-5.4697893712849035E-16</v>
      </c>
      <c r="J106" s="161">
        <v>-3.2894423397994022E-3</v>
      </c>
      <c r="K106" s="161">
        <v>-1.0449047778952941E-3</v>
      </c>
      <c r="L106" s="161">
        <v>-4.9327226384082773E-3</v>
      </c>
      <c r="M106" s="161">
        <v>3.1800635351418071E-3</v>
      </c>
      <c r="N106" s="161">
        <v>9.3384365974119622E-3</v>
      </c>
      <c r="O106" s="161">
        <v>-7.1203086772262021E-6</v>
      </c>
      <c r="P106" s="162"/>
      <c r="Q106" s="162"/>
      <c r="R106" s="162"/>
      <c r="S106" s="162"/>
      <c r="T106" s="162"/>
      <c r="U106" s="161"/>
    </row>
    <row r="107" spans="1:21">
      <c r="A107" s="19"/>
      <c r="B107" s="161">
        <v>-10.37931939205907</v>
      </c>
      <c r="C107" s="161">
        <v>1.7696435855883567E-6</v>
      </c>
      <c r="D107" s="161">
        <v>-1.6815364260205136E-6</v>
      </c>
      <c r="E107" s="161">
        <v>8.3840892052612849E-10</v>
      </c>
      <c r="F107" s="161">
        <v>6.4154421718338758E-11</v>
      </c>
      <c r="G107" s="161">
        <v>-1.3921736396584616E-6</v>
      </c>
      <c r="H107" s="161">
        <v>2.2359457048058757E-12</v>
      </c>
      <c r="I107" s="161">
        <v>5.785790704981732E-17</v>
      </c>
      <c r="J107" s="161">
        <v>6.4278763572630158E-7</v>
      </c>
      <c r="K107" s="161">
        <v>-1.4720974642567782E-6</v>
      </c>
      <c r="L107" s="161">
        <v>4.3366925475954164E-6</v>
      </c>
      <c r="M107" s="161">
        <v>-8.1693950841222654E-6</v>
      </c>
      <c r="N107" s="161">
        <v>-7.1203086772262021E-6</v>
      </c>
      <c r="O107" s="161">
        <v>3.2773839996711815E-6</v>
      </c>
      <c r="P107" s="162"/>
      <c r="Q107" s="162"/>
      <c r="R107" s="162"/>
      <c r="S107" s="162"/>
      <c r="T107" s="162"/>
      <c r="U107" s="161"/>
    </row>
    <row r="108" spans="1:21">
      <c r="A108" s="19"/>
      <c r="B108" s="16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2"/>
      <c r="Q108" s="162"/>
      <c r="R108" s="162"/>
      <c r="S108" s="162"/>
      <c r="T108" s="162"/>
      <c r="U108" s="161"/>
    </row>
    <row r="109" spans="1:21">
      <c r="A109" s="19" t="s">
        <v>105</v>
      </c>
      <c r="B109" s="162" t="s">
        <v>97</v>
      </c>
      <c r="C109" s="147">
        <f t="shared" ref="C109:O109" si="6">IF(C110="B0",$E$2,
IF(C110="agec",$F$2,
IF(C110="agec2",$G$2,
IF(C110="agec3",$H$2,
IF(C110="sexq",$I$2,
IF(C110="tivc",$J$2,
IF(C110="tivc2",$K$2,
IF(C110="tivc3",$L$2,
IF(C110="MFSq",$M$2,
IF(C110="GE",$N$2,
IF(C110="Philips",$O$2,
IF(C110="GE_X_MFSq",$P$2,
IF(C110="Philips_X_MFSq",$Q$2,
IF(C110="tivc_X_MFSq",$R$2,
IF(C110="agec_X_sexq",$S$2,
IF(C110="tivc_X_GE",$T$2,
IF(C110="tivc_X_Philips",$U$2, "Error"
)))))))))))))))))</f>
        <v>1</v>
      </c>
      <c r="D109" s="147">
        <f t="shared" si="6"/>
        <v>-47.563461699999998</v>
      </c>
      <c r="E109" s="147">
        <f t="shared" si="6"/>
        <v>2262.2828888873669</v>
      </c>
      <c r="F109" s="147">
        <f t="shared" si="6"/>
        <v>-107602.00554015962</v>
      </c>
      <c r="G109" s="147">
        <f t="shared" si="6"/>
        <v>0</v>
      </c>
      <c r="H109" s="147">
        <f t="shared" si="6"/>
        <v>-1521907.28</v>
      </c>
      <c r="I109" s="147">
        <f t="shared" si="6"/>
        <v>2316201768916.9985</v>
      </c>
      <c r="J109" s="147">
        <f t="shared" si="6"/>
        <v>-3.525044334063658E+18</v>
      </c>
      <c r="K109" s="147">
        <f t="shared" si="6"/>
        <v>0</v>
      </c>
      <c r="L109" s="147">
        <f t="shared" si="6"/>
        <v>0</v>
      </c>
      <c r="M109" s="147">
        <f t="shared" si="6"/>
        <v>0</v>
      </c>
      <c r="N109" s="147">
        <f t="shared" si="6"/>
        <v>0</v>
      </c>
      <c r="O109" s="147">
        <f t="shared" si="6"/>
        <v>0</v>
      </c>
      <c r="P109" s="147"/>
      <c r="Q109" s="147"/>
      <c r="R109" s="162"/>
      <c r="S109" s="162"/>
      <c r="T109" s="162"/>
      <c r="U109" s="161"/>
    </row>
    <row r="110" spans="1:21">
      <c r="A110" s="19"/>
      <c r="B110" s="162" t="s">
        <v>98</v>
      </c>
      <c r="C110" s="161" t="s">
        <v>42</v>
      </c>
      <c r="D110" s="161" t="s">
        <v>43</v>
      </c>
      <c r="E110" s="161" t="s">
        <v>57</v>
      </c>
      <c r="F110" s="161" t="s">
        <v>66</v>
      </c>
      <c r="G110" s="161" t="s">
        <v>69</v>
      </c>
      <c r="H110" s="161" t="s">
        <v>44</v>
      </c>
      <c r="I110" s="161" t="s">
        <v>45</v>
      </c>
      <c r="J110" s="161" t="s">
        <v>68</v>
      </c>
      <c r="K110" s="161" t="s">
        <v>1</v>
      </c>
      <c r="L110" s="161" t="s">
        <v>2</v>
      </c>
      <c r="M110" s="161" t="s">
        <v>95</v>
      </c>
      <c r="N110" s="161" t="s">
        <v>101</v>
      </c>
      <c r="O110" s="161" t="s">
        <v>102</v>
      </c>
      <c r="P110" s="161"/>
      <c r="Q110" s="161"/>
      <c r="R110" s="162"/>
      <c r="S110" s="162"/>
      <c r="T110" s="162"/>
      <c r="U110" s="161"/>
    </row>
    <row r="111" spans="1:21">
      <c r="A111" s="19"/>
      <c r="B111" s="161">
        <v>3551.8832455052325</v>
      </c>
      <c r="C111" s="161">
        <v>2.5462672009275793E-3</v>
      </c>
      <c r="D111" s="161">
        <v>-2.6060556526758571E-5</v>
      </c>
      <c r="E111" s="161">
        <v>-2.278736986339296E-6</v>
      </c>
      <c r="F111" s="161">
        <v>4.3105550406652668E-8</v>
      </c>
      <c r="G111" s="161">
        <v>-1.2593320449109011E-3</v>
      </c>
      <c r="H111" s="161">
        <v>3.3730735051487854E-9</v>
      </c>
      <c r="I111" s="161">
        <v>-5.649906031322296E-15</v>
      </c>
      <c r="J111" s="161">
        <v>-7.1698931800764842E-21</v>
      </c>
      <c r="K111" s="161">
        <v>-4.1380829222302702E-4</v>
      </c>
      <c r="L111" s="161">
        <v>-9.6314617527088343E-4</v>
      </c>
      <c r="M111" s="161">
        <v>1.4157932220721918E-6</v>
      </c>
      <c r="N111" s="161">
        <v>-5.9767636441335026E-10</v>
      </c>
      <c r="O111" s="161">
        <v>-1.8240552776974305E-10</v>
      </c>
      <c r="P111" s="161"/>
      <c r="Q111" s="161"/>
      <c r="R111" s="162"/>
      <c r="S111" s="162"/>
      <c r="T111" s="162"/>
      <c r="U111" s="161"/>
    </row>
    <row r="112" spans="1:21">
      <c r="A112" s="19"/>
      <c r="B112" s="161">
        <v>-9.045167755110846</v>
      </c>
      <c r="C112" s="161">
        <v>-2.6060556526758571E-5</v>
      </c>
      <c r="D112" s="161">
        <v>6.3768594574426862E-6</v>
      </c>
      <c r="E112" s="161">
        <v>6.8216151226448222E-8</v>
      </c>
      <c r="F112" s="161">
        <v>-6.8009905628945458E-9</v>
      </c>
      <c r="G112" s="161">
        <v>5.5646378935637438E-6</v>
      </c>
      <c r="H112" s="161">
        <v>9.3401934597039437E-12</v>
      </c>
      <c r="I112" s="161">
        <v>4.0253900274273398E-19</v>
      </c>
      <c r="J112" s="161">
        <v>-1.3649031246015572E-22</v>
      </c>
      <c r="K112" s="161">
        <v>-4.1044883069705405E-6</v>
      </c>
      <c r="L112" s="161">
        <v>2.352856536051175E-6</v>
      </c>
      <c r="M112" s="161">
        <v>-1.6809525253795584E-6</v>
      </c>
      <c r="N112" s="161">
        <v>-1.3799153314425444E-11</v>
      </c>
      <c r="O112" s="161">
        <v>3.9359927460953534E-11</v>
      </c>
      <c r="P112" s="161"/>
      <c r="Q112" s="161"/>
      <c r="R112" s="162"/>
      <c r="S112" s="162"/>
      <c r="T112" s="162"/>
      <c r="U112" s="161"/>
    </row>
    <row r="113" spans="1:21">
      <c r="A113" s="19"/>
      <c r="B113" s="161">
        <v>0.21347929623459619</v>
      </c>
      <c r="C113" s="161">
        <v>-2.278736986339296E-6</v>
      </c>
      <c r="D113" s="161">
        <v>6.8216151226448222E-8</v>
      </c>
      <c r="E113" s="161">
        <v>4.9461635525318453E-9</v>
      </c>
      <c r="F113" s="161">
        <v>-1.1719266711650612E-10</v>
      </c>
      <c r="G113" s="161">
        <v>1.597051757382329E-7</v>
      </c>
      <c r="H113" s="161">
        <v>-1.1748053373400832E-12</v>
      </c>
      <c r="I113" s="161">
        <v>5.5307461715766356E-19</v>
      </c>
      <c r="J113" s="161">
        <v>9.6966938040716176E-25</v>
      </c>
      <c r="K113" s="161">
        <v>-5.978920730238162E-7</v>
      </c>
      <c r="L113" s="161">
        <v>4.7669187050972571E-7</v>
      </c>
      <c r="M113" s="161">
        <v>6.0691685145866584E-10</v>
      </c>
      <c r="N113" s="161">
        <v>1.127512476342113E-12</v>
      </c>
      <c r="O113" s="161">
        <v>3.3334312636545967E-13</v>
      </c>
      <c r="P113" s="161"/>
      <c r="Q113" s="161"/>
      <c r="R113" s="162"/>
      <c r="S113" s="162"/>
      <c r="T113" s="162"/>
      <c r="U113" s="161"/>
    </row>
    <row r="114" spans="1:21">
      <c r="A114" s="19"/>
      <c r="B114" s="161">
        <v>2.1147991097131679E-3</v>
      </c>
      <c r="C114" s="161">
        <v>4.3105550406652668E-8</v>
      </c>
      <c r="D114" s="161">
        <v>-6.8009905628945458E-9</v>
      </c>
      <c r="E114" s="161">
        <v>-1.1719266711650612E-10</v>
      </c>
      <c r="F114" s="161">
        <v>9.852439107034715E-12</v>
      </c>
      <c r="G114" s="161">
        <v>-7.4298131373438225E-9</v>
      </c>
      <c r="H114" s="161">
        <v>2.325933690642075E-14</v>
      </c>
      <c r="I114" s="161">
        <v>-7.7970434286429612E-21</v>
      </c>
      <c r="J114" s="161">
        <v>3.7431693451829625E-26</v>
      </c>
      <c r="K114" s="161">
        <v>1.2404013627768449E-8</v>
      </c>
      <c r="L114" s="161">
        <v>-3.241322775915917E-9</v>
      </c>
      <c r="M114" s="161">
        <v>6.2065002608917087E-11</v>
      </c>
      <c r="N114" s="161">
        <v>-2.6076146495268362E-14</v>
      </c>
      <c r="O114" s="161">
        <v>-5.1001599381237139E-14</v>
      </c>
      <c r="P114" s="161"/>
      <c r="Q114" s="161"/>
      <c r="R114" s="162"/>
      <c r="S114" s="162"/>
      <c r="T114" s="162"/>
      <c r="U114" s="161"/>
    </row>
    <row r="115" spans="1:21">
      <c r="A115" s="19"/>
      <c r="B115" s="161">
        <v>-20.488583400828549</v>
      </c>
      <c r="C115" s="161">
        <v>-1.2593320449109011E-3</v>
      </c>
      <c r="D115" s="161">
        <v>5.5646378935637438E-6</v>
      </c>
      <c r="E115" s="161">
        <v>1.597051757382329E-7</v>
      </c>
      <c r="F115" s="161">
        <v>-7.4298131373438225E-9</v>
      </c>
      <c r="G115" s="161">
        <v>2.3303435260127359E-3</v>
      </c>
      <c r="H115" s="161">
        <v>-4.8399945189129302E-9</v>
      </c>
      <c r="I115" s="161">
        <v>-4.2506053256724315E-16</v>
      </c>
      <c r="J115" s="161">
        <v>1.1020340457103782E-20</v>
      </c>
      <c r="K115" s="161">
        <v>-4.082924830958134E-6</v>
      </c>
      <c r="L115" s="161">
        <v>1.4063784002778582E-4</v>
      </c>
      <c r="M115" s="161">
        <v>-2.2646807728748192E-7</v>
      </c>
      <c r="N115" s="161">
        <v>-1.4155332464160303E-10</v>
      </c>
      <c r="O115" s="161">
        <v>2.7402938357672841E-10</v>
      </c>
      <c r="P115" s="161"/>
      <c r="Q115" s="161"/>
      <c r="R115" s="162"/>
      <c r="S115" s="162"/>
      <c r="T115" s="162"/>
      <c r="U115" s="161"/>
    </row>
    <row r="116" spans="1:21">
      <c r="A116" s="19"/>
      <c r="B116" s="161">
        <v>1.7126604487014189E-3</v>
      </c>
      <c r="C116" s="161">
        <v>3.3730735051487854E-9</v>
      </c>
      <c r="D116" s="161">
        <v>9.3401934597039437E-12</v>
      </c>
      <c r="E116" s="161">
        <v>-1.1748053373400832E-12</v>
      </c>
      <c r="F116" s="161">
        <v>2.325933690642075E-14</v>
      </c>
      <c r="G116" s="161">
        <v>-4.8399945189129302E-9</v>
      </c>
      <c r="H116" s="161">
        <v>5.0492515910202931E-14</v>
      </c>
      <c r="I116" s="161">
        <v>2.821929645465566E-21</v>
      </c>
      <c r="J116" s="161">
        <v>-2.1036088399593746E-25</v>
      </c>
      <c r="K116" s="161">
        <v>2.5210620210209165E-11</v>
      </c>
      <c r="L116" s="161">
        <v>-1.0021647994011354E-9</v>
      </c>
      <c r="M116" s="161">
        <v>-2.5758931215250325E-11</v>
      </c>
      <c r="N116" s="161">
        <v>-2.3659923551970568E-14</v>
      </c>
      <c r="O116" s="161">
        <v>-2.0166571429560839E-14</v>
      </c>
      <c r="P116" s="161"/>
      <c r="Q116" s="161"/>
      <c r="R116" s="162"/>
      <c r="S116" s="162"/>
      <c r="T116" s="162"/>
      <c r="U116" s="161"/>
    </row>
    <row r="117" spans="1:21">
      <c r="A117" s="19"/>
      <c r="B117" s="161">
        <v>7.1608084751119752E-10</v>
      </c>
      <c r="C117" s="161">
        <v>-5.649906031322296E-15</v>
      </c>
      <c r="D117" s="161">
        <v>4.0253900274273398E-19</v>
      </c>
      <c r="E117" s="161">
        <v>5.5307461715766356E-19</v>
      </c>
      <c r="F117" s="161">
        <v>-7.7970434286429612E-21</v>
      </c>
      <c r="G117" s="161">
        <v>-4.2506053256724315E-16</v>
      </c>
      <c r="H117" s="161">
        <v>2.821929645465566E-21</v>
      </c>
      <c r="I117" s="161">
        <v>1.8908808405897235E-25</v>
      </c>
      <c r="J117" s="161">
        <v>-5.8948333981047018E-33</v>
      </c>
      <c r="K117" s="161">
        <v>-6.2717942476433113E-16</v>
      </c>
      <c r="L117" s="161">
        <v>-1.1809969215485657E-15</v>
      </c>
      <c r="M117" s="161">
        <v>4.6004888953826241E-17</v>
      </c>
      <c r="N117" s="161">
        <v>-4.2759101728233577E-21</v>
      </c>
      <c r="O117" s="161">
        <v>-1.1470378074376396E-20</v>
      </c>
      <c r="P117" s="161"/>
      <c r="Q117" s="161"/>
      <c r="R117" s="162"/>
      <c r="S117" s="162"/>
      <c r="T117" s="162"/>
      <c r="U117" s="161"/>
    </row>
    <row r="118" spans="1:21">
      <c r="A118" s="19"/>
      <c r="B118" s="161">
        <v>-8.6147802045897161E-16</v>
      </c>
      <c r="C118" s="161">
        <v>-7.1698931800764842E-21</v>
      </c>
      <c r="D118" s="161">
        <v>-1.3649031246015572E-22</v>
      </c>
      <c r="E118" s="161">
        <v>9.6966938040716176E-25</v>
      </c>
      <c r="F118" s="161">
        <v>3.7431693451829625E-26</v>
      </c>
      <c r="G118" s="161">
        <v>1.1020340457103782E-20</v>
      </c>
      <c r="H118" s="161">
        <v>-2.1036088399593746E-25</v>
      </c>
      <c r="I118" s="161">
        <v>-5.8948333981047018E-33</v>
      </c>
      <c r="J118" s="161">
        <v>2.133159667611268E-36</v>
      </c>
      <c r="K118" s="161">
        <v>-2.7370947013947475E-21</v>
      </c>
      <c r="L118" s="161">
        <v>3.9170483529794334E-21</v>
      </c>
      <c r="M118" s="161">
        <v>1.8007429194795986E-22</v>
      </c>
      <c r="N118" s="161">
        <v>1.6893782975363057E-27</v>
      </c>
      <c r="O118" s="161">
        <v>-4.0271960550866684E-26</v>
      </c>
      <c r="P118" s="161"/>
      <c r="Q118" s="161"/>
      <c r="R118" s="162"/>
      <c r="S118" s="162"/>
      <c r="T118" s="162"/>
      <c r="U118" s="161"/>
    </row>
    <row r="119" spans="1:21">
      <c r="A119" s="19"/>
      <c r="B119" s="161">
        <v>-62.198846026485029</v>
      </c>
      <c r="C119" s="161">
        <v>-4.1380829222302702E-4</v>
      </c>
      <c r="D119" s="161">
        <v>-4.1044883069705405E-6</v>
      </c>
      <c r="E119" s="161">
        <v>-5.978920730238162E-7</v>
      </c>
      <c r="F119" s="161">
        <v>1.2404013627768449E-8</v>
      </c>
      <c r="G119" s="161">
        <v>-4.082924830958134E-6</v>
      </c>
      <c r="H119" s="161">
        <v>2.5210620210209165E-11</v>
      </c>
      <c r="I119" s="161">
        <v>-6.2717942476433113E-16</v>
      </c>
      <c r="J119" s="161">
        <v>-2.7370947013947475E-21</v>
      </c>
      <c r="K119" s="161">
        <v>3.0458256087858939E-3</v>
      </c>
      <c r="L119" s="161">
        <v>6.3855537129670005E-4</v>
      </c>
      <c r="M119" s="161">
        <v>-5.3805638564183961E-6</v>
      </c>
      <c r="N119" s="161">
        <v>1.7510460212159488E-9</v>
      </c>
      <c r="O119" s="161">
        <v>3.7251691157299117E-10</v>
      </c>
      <c r="P119" s="161"/>
      <c r="Q119" s="161"/>
      <c r="R119" s="162"/>
      <c r="S119" s="162"/>
      <c r="T119" s="162"/>
      <c r="U119" s="161"/>
    </row>
    <row r="120" spans="1:21">
      <c r="A120" s="19"/>
      <c r="B120" s="161">
        <v>-181.01103990653084</v>
      </c>
      <c r="C120" s="161">
        <v>-9.6314617527088343E-4</v>
      </c>
      <c r="D120" s="161">
        <v>2.352856536051175E-6</v>
      </c>
      <c r="E120" s="161">
        <v>4.7669187050972571E-7</v>
      </c>
      <c r="F120" s="161">
        <v>-3.241322775915917E-9</v>
      </c>
      <c r="G120" s="161">
        <v>1.4063784002778582E-4</v>
      </c>
      <c r="H120" s="161">
        <v>-1.0021647994011354E-9</v>
      </c>
      <c r="I120" s="161">
        <v>-1.1809969215485657E-15</v>
      </c>
      <c r="J120" s="161">
        <v>3.9170483529794334E-21</v>
      </c>
      <c r="K120" s="161">
        <v>6.3855537129670005E-4</v>
      </c>
      <c r="L120" s="161">
        <v>2.1770206495079821E-3</v>
      </c>
      <c r="M120" s="161">
        <v>2.901486265813701E-7</v>
      </c>
      <c r="N120" s="161">
        <v>4.4309159041083168E-10</v>
      </c>
      <c r="O120" s="161">
        <v>-1.1157321669313917E-9</v>
      </c>
      <c r="P120" s="161"/>
      <c r="Q120" s="161"/>
      <c r="R120" s="162"/>
      <c r="S120" s="162"/>
      <c r="T120" s="162"/>
      <c r="U120" s="161"/>
    </row>
    <row r="121" spans="1:21">
      <c r="A121" s="19"/>
      <c r="B121" s="161">
        <v>-2.334356838872945</v>
      </c>
      <c r="C121" s="161">
        <v>1.4157932220721918E-6</v>
      </c>
      <c r="D121" s="161">
        <v>-1.6809525253795584E-6</v>
      </c>
      <c r="E121" s="161">
        <v>6.0691685145866584E-10</v>
      </c>
      <c r="F121" s="161">
        <v>6.2065002608917087E-11</v>
      </c>
      <c r="G121" s="161">
        <v>-2.2646807728748192E-7</v>
      </c>
      <c r="H121" s="161">
        <v>-2.5758931215250325E-11</v>
      </c>
      <c r="I121" s="161">
        <v>4.6004888953826241E-17</v>
      </c>
      <c r="J121" s="161">
        <v>1.8007429194795986E-22</v>
      </c>
      <c r="K121" s="161">
        <v>-5.3805638564183961E-6</v>
      </c>
      <c r="L121" s="161">
        <v>2.901486265813701E-7</v>
      </c>
      <c r="M121" s="161">
        <v>3.2814051843453571E-6</v>
      </c>
      <c r="N121" s="161">
        <v>2.8988088418349386E-11</v>
      </c>
      <c r="O121" s="161">
        <v>1.4134898699011249E-11</v>
      </c>
      <c r="P121" s="161"/>
      <c r="Q121" s="161"/>
      <c r="R121" s="162"/>
      <c r="S121" s="162"/>
      <c r="T121" s="162"/>
      <c r="U121" s="161"/>
    </row>
    <row r="122" spans="1:21">
      <c r="A122" s="19"/>
      <c r="B122" s="161">
        <v>-1.0521556490323416E-4</v>
      </c>
      <c r="C122" s="161">
        <v>-5.9767636441335026E-10</v>
      </c>
      <c r="D122" s="161">
        <v>-1.3799153314425444E-11</v>
      </c>
      <c r="E122" s="161">
        <v>1.127512476342113E-12</v>
      </c>
      <c r="F122" s="161">
        <v>-2.6076146495268362E-14</v>
      </c>
      <c r="G122" s="161">
        <v>-1.4155332464160303E-10</v>
      </c>
      <c r="H122" s="161">
        <v>-2.3659923551970568E-14</v>
      </c>
      <c r="I122" s="161">
        <v>-4.2759101728233577E-21</v>
      </c>
      <c r="J122" s="161">
        <v>1.6893782975363057E-27</v>
      </c>
      <c r="K122" s="161">
        <v>1.7510460212159488E-9</v>
      </c>
      <c r="L122" s="161">
        <v>4.4309159041083168E-10</v>
      </c>
      <c r="M122" s="161">
        <v>2.8988088418349386E-11</v>
      </c>
      <c r="N122" s="161">
        <v>9.4567800740332681E-14</v>
      </c>
      <c r="O122" s="161">
        <v>2.3548726353716221E-14</v>
      </c>
      <c r="P122" s="161"/>
      <c r="Q122" s="161"/>
      <c r="R122" s="162"/>
      <c r="S122" s="162"/>
      <c r="T122" s="162"/>
      <c r="U122" s="161"/>
    </row>
    <row r="123" spans="1:21">
      <c r="A123" s="19"/>
      <c r="B123" s="161">
        <v>-2.384369933618556E-4</v>
      </c>
      <c r="C123" s="161">
        <v>-1.8240552776974305E-10</v>
      </c>
      <c r="D123" s="161">
        <v>3.9359927460953534E-11</v>
      </c>
      <c r="E123" s="161">
        <v>3.3334312636545967E-13</v>
      </c>
      <c r="F123" s="161">
        <v>-5.1001599381237139E-14</v>
      </c>
      <c r="G123" s="161">
        <v>2.7402938357672841E-10</v>
      </c>
      <c r="H123" s="161">
        <v>-2.0166571429560839E-14</v>
      </c>
      <c r="I123" s="161">
        <v>-1.1470378074376396E-20</v>
      </c>
      <c r="J123" s="161">
        <v>-4.0271960550866684E-26</v>
      </c>
      <c r="K123" s="161">
        <v>3.7251691157299117E-10</v>
      </c>
      <c r="L123" s="161">
        <v>-1.1157321669313917E-9</v>
      </c>
      <c r="M123" s="161">
        <v>1.4134898699011249E-11</v>
      </c>
      <c r="N123" s="161">
        <v>2.3548726353716221E-14</v>
      </c>
      <c r="O123" s="161">
        <v>6.1482571217365717E-14</v>
      </c>
      <c r="P123" s="161"/>
      <c r="Q123" s="161"/>
      <c r="R123" s="162"/>
      <c r="S123" s="162"/>
      <c r="T123" s="162"/>
      <c r="U123" s="161"/>
    </row>
    <row r="124" spans="1:21">
      <c r="A124" s="19"/>
      <c r="B124" s="161"/>
      <c r="C124" s="161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2"/>
      <c r="S124" s="162"/>
      <c r="T124" s="162"/>
      <c r="U124" s="161"/>
    </row>
    <row r="125" spans="1:21">
      <c r="A125" s="19" t="s">
        <v>106</v>
      </c>
      <c r="B125" s="161" t="s">
        <v>97</v>
      </c>
      <c r="C125" s="147">
        <f t="shared" ref="C125:Q125" si="7">IF(C126="B0",$E$2,
IF(C126="agec",$F$2,
IF(C126="agec2",$G$2,
IF(C126="agec3",$H$2,
IF(C126="sexq",$I$2,
IF(C126="tivc",$J$2,
IF(C126="tivc2",$K$2,
IF(C126="tivc3",$L$2,
IF(C126="MFSq",$M$2,
IF(C126="GE",$N$2,
IF(C126="Philips",$O$2,
IF(C126="GE_X_MFSq",$P$2,
IF(C126="Philips_X_MFSq",$Q$2,
IF(C126="tivc_X_MFSq",$R$2,
IF(C126="agec_X_sexq",$S$2,
IF(C126="tivc_X_GE",$T$2,
IF(C126="tivc_X_Philips",$U$2, "Error"
)))))))))))))))))</f>
        <v>1</v>
      </c>
      <c r="D125" s="147">
        <f t="shared" si="7"/>
        <v>-47.563461699999998</v>
      </c>
      <c r="E125" s="147">
        <f t="shared" si="7"/>
        <v>2262.2828888873669</v>
      </c>
      <c r="F125" s="147">
        <f t="shared" si="7"/>
        <v>0</v>
      </c>
      <c r="G125" s="147">
        <f t="shared" si="7"/>
        <v>-1521907.28</v>
      </c>
      <c r="H125" s="147">
        <f t="shared" si="7"/>
        <v>2316201768916.9985</v>
      </c>
      <c r="I125" s="147">
        <f t="shared" si="7"/>
        <v>0</v>
      </c>
      <c r="J125" s="147">
        <f t="shared" si="7"/>
        <v>0</v>
      </c>
      <c r="K125" s="147">
        <f t="shared" si="7"/>
        <v>0</v>
      </c>
      <c r="L125" s="147">
        <f t="shared" si="7"/>
        <v>0</v>
      </c>
      <c r="M125" s="147">
        <f t="shared" si="7"/>
        <v>0</v>
      </c>
      <c r="N125" s="147">
        <f t="shared" si="7"/>
        <v>0</v>
      </c>
      <c r="O125" s="147">
        <f t="shared" si="7"/>
        <v>0</v>
      </c>
      <c r="P125" s="147">
        <f t="shared" si="7"/>
        <v>0</v>
      </c>
      <c r="Q125" s="147">
        <f t="shared" si="7"/>
        <v>0</v>
      </c>
      <c r="R125" s="162"/>
      <c r="S125" s="162"/>
      <c r="T125" s="162"/>
      <c r="U125" s="161"/>
    </row>
    <row r="126" spans="1:21">
      <c r="A126" s="19"/>
      <c r="B126" s="161" t="s">
        <v>98</v>
      </c>
      <c r="C126" s="161" t="s">
        <v>42</v>
      </c>
      <c r="D126" s="161" t="s">
        <v>43</v>
      </c>
      <c r="E126" s="161" t="s">
        <v>57</v>
      </c>
      <c r="F126" s="161" t="s">
        <v>69</v>
      </c>
      <c r="G126" s="161" t="s">
        <v>44</v>
      </c>
      <c r="H126" s="161" t="s">
        <v>45</v>
      </c>
      <c r="I126" s="161" t="s">
        <v>92</v>
      </c>
      <c r="J126" s="161" t="s">
        <v>1</v>
      </c>
      <c r="K126" s="161" t="s">
        <v>2</v>
      </c>
      <c r="L126" s="161" t="s">
        <v>93</v>
      </c>
      <c r="M126" s="161" t="s">
        <v>94</v>
      </c>
      <c r="N126" s="161" t="s">
        <v>107</v>
      </c>
      <c r="O126" s="161" t="s">
        <v>95</v>
      </c>
      <c r="P126" s="161" t="s">
        <v>101</v>
      </c>
      <c r="Q126" s="161" t="s">
        <v>102</v>
      </c>
      <c r="R126" s="162"/>
      <c r="S126" s="162"/>
      <c r="T126" s="162"/>
      <c r="U126" s="161"/>
    </row>
    <row r="127" spans="1:21">
      <c r="A127" s="19"/>
      <c r="B127" s="161">
        <v>3481.3907414465643</v>
      </c>
      <c r="C127" s="161">
        <v>2.656609804715613E-3</v>
      </c>
      <c r="D127" s="161">
        <v>4.9169058606054422E-6</v>
      </c>
      <c r="E127" s="161">
        <v>-1.647734316934821E-6</v>
      </c>
      <c r="F127" s="161">
        <v>-1.2863284053894147E-3</v>
      </c>
      <c r="G127" s="161">
        <v>2.6406850100590642E-9</v>
      </c>
      <c r="H127" s="161">
        <v>-6.1315297229856213E-15</v>
      </c>
      <c r="I127" s="161">
        <v>-9.861660481425749E-4</v>
      </c>
      <c r="J127" s="161">
        <v>-1.0336020721438259E-3</v>
      </c>
      <c r="K127" s="161">
        <v>-1.0745579242410531E-3</v>
      </c>
      <c r="L127" s="161">
        <v>1.352167051135593E-3</v>
      </c>
      <c r="M127" s="161">
        <v>7.2097878367706936E-4</v>
      </c>
      <c r="N127" s="161">
        <v>5.0928269498585525E-10</v>
      </c>
      <c r="O127" s="161">
        <v>1.3816477295248083E-6</v>
      </c>
      <c r="P127" s="161">
        <v>-7.1811957355664435E-10</v>
      </c>
      <c r="Q127" s="161">
        <v>-2.1409008431907621E-10</v>
      </c>
      <c r="R127" s="162"/>
      <c r="S127" s="162"/>
      <c r="T127" s="162"/>
      <c r="U127" s="161"/>
    </row>
    <row r="128" spans="1:21">
      <c r="A128" s="19"/>
      <c r="B128" s="161">
        <v>-7.9056507371864635</v>
      </c>
      <c r="C128" s="161">
        <v>4.9169058606054422E-6</v>
      </c>
      <c r="D128" s="161">
        <v>1.6897845183349609E-6</v>
      </c>
      <c r="E128" s="161">
        <v>-1.2167530298347868E-8</v>
      </c>
      <c r="F128" s="161">
        <v>7.6741614675286657E-7</v>
      </c>
      <c r="G128" s="161">
        <v>1.3172688983599195E-11</v>
      </c>
      <c r="H128" s="161">
        <v>-5.4902027778803413E-18</v>
      </c>
      <c r="I128" s="161">
        <v>-5.3351231790954965E-6</v>
      </c>
      <c r="J128" s="161">
        <v>-4.1121019582992855E-7</v>
      </c>
      <c r="K128" s="161">
        <v>-3.4447921556345146E-6</v>
      </c>
      <c r="L128" s="161">
        <v>9.9467375919334935E-6</v>
      </c>
      <c r="M128" s="161">
        <v>8.5953586980153717E-6</v>
      </c>
      <c r="N128" s="161">
        <v>6.6509422863908615E-12</v>
      </c>
      <c r="O128" s="161">
        <v>-1.6399070884043916E-6</v>
      </c>
      <c r="P128" s="161">
        <v>-3.4020544885671484E-11</v>
      </c>
      <c r="Q128" s="161">
        <v>-1.5288813167810347E-12</v>
      </c>
      <c r="R128" s="162"/>
      <c r="S128" s="162"/>
      <c r="T128" s="162"/>
      <c r="U128" s="161"/>
    </row>
    <row r="129" spans="1:21">
      <c r="A129" s="19"/>
      <c r="B129" s="161">
        <v>0.3681969653635892</v>
      </c>
      <c r="C129" s="161">
        <v>-1.647734316934821E-6</v>
      </c>
      <c r="D129" s="161">
        <v>-1.2167530298347868E-8</v>
      </c>
      <c r="E129" s="161">
        <v>3.6804159643734253E-9</v>
      </c>
      <c r="F129" s="161">
        <v>3.2578107220309954E-8</v>
      </c>
      <c r="G129" s="161">
        <v>-7.4670328951061133E-13</v>
      </c>
      <c r="H129" s="161">
        <v>2.1359364542618996E-19</v>
      </c>
      <c r="I129" s="161">
        <v>-4.7656097525243563E-7</v>
      </c>
      <c r="J129" s="161">
        <v>-1.5464387163547922E-7</v>
      </c>
      <c r="K129" s="161">
        <v>2.9419780661948089E-7</v>
      </c>
      <c r="L129" s="161">
        <v>-2.6728436713175095E-7</v>
      </c>
      <c r="M129" s="161">
        <v>4.8273152439109709E-7</v>
      </c>
      <c r="N129" s="161">
        <v>2.355740462824205E-13</v>
      </c>
      <c r="O129" s="161">
        <v>1.4935660171355305E-9</v>
      </c>
      <c r="P129" s="161">
        <v>7.1307881760296015E-13</v>
      </c>
      <c r="Q129" s="161">
        <v>-3.514152911522102E-13</v>
      </c>
      <c r="R129" s="162"/>
      <c r="S129" s="162"/>
      <c r="T129" s="162"/>
      <c r="U129" s="161"/>
    </row>
    <row r="130" spans="1:21">
      <c r="A130" s="19"/>
      <c r="B130" s="161">
        <v>19.440280809646204</v>
      </c>
      <c r="C130" s="161">
        <v>-1.2863284053894147E-3</v>
      </c>
      <c r="D130" s="161">
        <v>7.6741614675286657E-7</v>
      </c>
      <c r="E130" s="161">
        <v>3.2578107220309954E-8</v>
      </c>
      <c r="F130" s="161">
        <v>2.3154379133497969E-3</v>
      </c>
      <c r="G130" s="161">
        <v>-3.6304076777250714E-9</v>
      </c>
      <c r="H130" s="161">
        <v>-3.622033595587304E-17</v>
      </c>
      <c r="I130" s="161">
        <v>2.4602732061237796E-4</v>
      </c>
      <c r="J130" s="161">
        <v>1.6744237242800495E-4</v>
      </c>
      <c r="K130" s="161">
        <v>-3.5953917170170066E-5</v>
      </c>
      <c r="L130" s="161">
        <v>-3.5406566479823082E-4</v>
      </c>
      <c r="M130" s="161">
        <v>1.2324605869818152E-4</v>
      </c>
      <c r="N130" s="161">
        <v>-6.9781405835582052E-10</v>
      </c>
      <c r="O130" s="161">
        <v>-1.0936114436789542E-6</v>
      </c>
      <c r="P130" s="161">
        <v>7.4693281893810841E-11</v>
      </c>
      <c r="Q130" s="161">
        <v>5.5968435630332908E-10</v>
      </c>
      <c r="R130" s="162"/>
      <c r="S130" s="162"/>
      <c r="T130" s="162"/>
      <c r="U130" s="161"/>
    </row>
    <row r="131" spans="1:21">
      <c r="A131" s="19"/>
      <c r="B131" s="161">
        <v>1.5715391370271121E-3</v>
      </c>
      <c r="C131" s="161">
        <v>2.6406850100590642E-9</v>
      </c>
      <c r="D131" s="161">
        <v>1.3172688983599195E-11</v>
      </c>
      <c r="E131" s="161">
        <v>-7.4670328951061133E-13</v>
      </c>
      <c r="F131" s="161">
        <v>-3.6304076777250714E-9</v>
      </c>
      <c r="G131" s="161">
        <v>3.3581842440577506E-14</v>
      </c>
      <c r="H131" s="161">
        <v>6.7745352231885906E-21</v>
      </c>
      <c r="I131" s="161">
        <v>-7.7405432486384293E-10</v>
      </c>
      <c r="J131" s="161">
        <v>-5.4081044422419096E-10</v>
      </c>
      <c r="K131" s="161">
        <v>-6.8821913109596828E-10</v>
      </c>
      <c r="L131" s="161">
        <v>7.1789687398294412E-10</v>
      </c>
      <c r="M131" s="161">
        <v>7.2489544609097536E-10</v>
      </c>
      <c r="N131" s="161">
        <v>-1.45925010834656E-14</v>
      </c>
      <c r="O131" s="161">
        <v>1.8673305542288553E-13</v>
      </c>
      <c r="P131" s="161">
        <v>-1.88127484474001E-14</v>
      </c>
      <c r="Q131" s="161">
        <v>-1.9357276808485812E-14</v>
      </c>
      <c r="R131" s="162"/>
      <c r="S131" s="162"/>
      <c r="T131" s="162"/>
      <c r="U131" s="161"/>
    </row>
    <row r="132" spans="1:21">
      <c r="A132" s="19"/>
      <c r="B132" s="161">
        <v>3.8039837772517367E-10</v>
      </c>
      <c r="C132" s="161">
        <v>-6.1315297229856213E-15</v>
      </c>
      <c r="D132" s="161">
        <v>-5.4902027778803413E-18</v>
      </c>
      <c r="E132" s="161">
        <v>2.1359364542618996E-19</v>
      </c>
      <c r="F132" s="161">
        <v>-3.622033595587304E-17</v>
      </c>
      <c r="G132" s="161">
        <v>6.7745352231885906E-21</v>
      </c>
      <c r="H132" s="161">
        <v>1.9556875141371105E-25</v>
      </c>
      <c r="I132" s="161">
        <v>8.0653993025678625E-16</v>
      </c>
      <c r="J132" s="161">
        <v>-4.8835996784411377E-16</v>
      </c>
      <c r="K132" s="161">
        <v>-1.9778742236801505E-15</v>
      </c>
      <c r="L132" s="161">
        <v>-6.4021927636423101E-16</v>
      </c>
      <c r="M132" s="161">
        <v>1.2009177776770186E-15</v>
      </c>
      <c r="N132" s="161">
        <v>-1.7450788801602954E-20</v>
      </c>
      <c r="O132" s="161">
        <v>5.1430302396123677E-17</v>
      </c>
      <c r="P132" s="161">
        <v>1.1109369121365169E-21</v>
      </c>
      <c r="Q132" s="161">
        <v>-7.5413081430963433E-21</v>
      </c>
      <c r="R132" s="162"/>
      <c r="S132" s="162"/>
      <c r="T132" s="162"/>
      <c r="U132" s="161"/>
    </row>
    <row r="133" spans="1:21">
      <c r="A133" s="19"/>
      <c r="B133" s="161">
        <v>199.45322038163499</v>
      </c>
      <c r="C133" s="161">
        <v>-9.861660481425749E-4</v>
      </c>
      <c r="D133" s="161">
        <v>-5.3351231790954965E-6</v>
      </c>
      <c r="E133" s="161">
        <v>-4.7656097525243563E-7</v>
      </c>
      <c r="F133" s="161">
        <v>2.4602732061237796E-4</v>
      </c>
      <c r="G133" s="161">
        <v>-7.7405432486384293E-10</v>
      </c>
      <c r="H133" s="161">
        <v>8.0653993025678625E-16</v>
      </c>
      <c r="I133" s="161">
        <v>3.3280862798607089E-3</v>
      </c>
      <c r="J133" s="161">
        <v>1.0612067363037702E-3</v>
      </c>
      <c r="K133" s="161">
        <v>9.8174762541632619E-4</v>
      </c>
      <c r="L133" s="161">
        <v>-3.2170193588440497E-3</v>
      </c>
      <c r="M133" s="161">
        <v>-3.2989619170090971E-3</v>
      </c>
      <c r="N133" s="161">
        <v>4.1506494745628694E-10</v>
      </c>
      <c r="O133" s="161">
        <v>5.3913995839109804E-7</v>
      </c>
      <c r="P133" s="161">
        <v>1.1477350137365299E-10</v>
      </c>
      <c r="Q133" s="161">
        <v>6.6926272512748067E-11</v>
      </c>
      <c r="R133" s="162"/>
      <c r="S133" s="162"/>
      <c r="T133" s="162"/>
      <c r="U133" s="161"/>
    </row>
    <row r="134" spans="1:21">
      <c r="A134" s="19"/>
      <c r="B134" s="161">
        <v>-185.96434760927639</v>
      </c>
      <c r="C134" s="161">
        <v>-1.0336020721438259E-3</v>
      </c>
      <c r="D134" s="161">
        <v>-4.1121019582992855E-7</v>
      </c>
      <c r="E134" s="161">
        <v>-1.5464387163547922E-7</v>
      </c>
      <c r="F134" s="161">
        <v>1.6744237242800495E-4</v>
      </c>
      <c r="G134" s="161">
        <v>-5.4081044422419096E-10</v>
      </c>
      <c r="H134" s="161">
        <v>-4.8835996784411377E-16</v>
      </c>
      <c r="I134" s="161">
        <v>1.0612067363037702E-3</v>
      </c>
      <c r="J134" s="161">
        <v>7.0879681027664742E-3</v>
      </c>
      <c r="K134" s="161">
        <v>1.0099161454220564E-3</v>
      </c>
      <c r="L134" s="161">
        <v>-7.0458515208291694E-3</v>
      </c>
      <c r="M134" s="161">
        <v>-1.0230846615382116E-3</v>
      </c>
      <c r="N134" s="161">
        <v>-5.6544958308889211E-10</v>
      </c>
      <c r="O134" s="161">
        <v>-1.2519439615797999E-7</v>
      </c>
      <c r="P134" s="161">
        <v>2.4167989530957146E-9</v>
      </c>
      <c r="Q134" s="161">
        <v>6.708355917224162E-10</v>
      </c>
      <c r="R134" s="17"/>
      <c r="S134" s="162"/>
      <c r="T134" s="162"/>
      <c r="U134" s="161"/>
    </row>
    <row r="135" spans="1:21">
      <c r="A135" s="19"/>
      <c r="B135" s="161">
        <v>-248.39268577649219</v>
      </c>
      <c r="C135" s="161">
        <v>-1.0745579242410531E-3</v>
      </c>
      <c r="D135" s="161">
        <v>-3.4447921556345146E-6</v>
      </c>
      <c r="E135" s="161">
        <v>2.9419780661948089E-7</v>
      </c>
      <c r="F135" s="161">
        <v>-3.5953917170170066E-5</v>
      </c>
      <c r="G135" s="161">
        <v>-6.8821913109596828E-10</v>
      </c>
      <c r="H135" s="161">
        <v>-1.9778742236801505E-15</v>
      </c>
      <c r="I135" s="161">
        <v>9.8174762541632619E-4</v>
      </c>
      <c r="J135" s="161">
        <v>1.0099161454220564E-3</v>
      </c>
      <c r="K135" s="161">
        <v>4.9361555153339181E-3</v>
      </c>
      <c r="L135" s="161">
        <v>-1.036509680210549E-3</v>
      </c>
      <c r="M135" s="161">
        <v>-4.8627825566400487E-3</v>
      </c>
      <c r="N135" s="161">
        <v>8.2094382014576754E-10</v>
      </c>
      <c r="O135" s="161">
        <v>4.2256100258499968E-6</v>
      </c>
      <c r="P135" s="161">
        <v>3.2755754776429107E-10</v>
      </c>
      <c r="Q135" s="161">
        <v>-1.1285404556656594E-10</v>
      </c>
      <c r="R135" s="162"/>
      <c r="S135" s="162"/>
      <c r="T135" s="162"/>
      <c r="U135" s="161"/>
    </row>
    <row r="136" spans="1:21">
      <c r="A136" s="19"/>
      <c r="B136" s="161">
        <v>-113.42315443115942</v>
      </c>
      <c r="C136" s="161">
        <v>1.352167051135593E-3</v>
      </c>
      <c r="D136" s="161">
        <v>9.9467375919334935E-6</v>
      </c>
      <c r="E136" s="161">
        <v>-2.6728436713175095E-7</v>
      </c>
      <c r="F136" s="161">
        <v>-3.5406566479823082E-4</v>
      </c>
      <c r="G136" s="161">
        <v>7.1789687398294412E-10</v>
      </c>
      <c r="H136" s="161">
        <v>-6.4021927636423101E-16</v>
      </c>
      <c r="I136" s="161">
        <v>-3.2170193588440497E-3</v>
      </c>
      <c r="J136" s="161">
        <v>-7.0458515208291694E-3</v>
      </c>
      <c r="K136" s="161">
        <v>-1.036509680210549E-3</v>
      </c>
      <c r="L136" s="161">
        <v>1.2873729623301326E-2</v>
      </c>
      <c r="M136" s="161">
        <v>3.1480997953204004E-3</v>
      </c>
      <c r="N136" s="161">
        <v>9.0798304038477443E-10</v>
      </c>
      <c r="O136" s="161">
        <v>-8.3859041410505672E-6</v>
      </c>
      <c r="P136" s="161">
        <v>-1.057043542501182E-9</v>
      </c>
      <c r="Q136" s="161">
        <v>-5.3823222878005854E-10</v>
      </c>
      <c r="R136" s="162"/>
      <c r="S136" s="162"/>
      <c r="T136" s="162"/>
      <c r="U136" s="161"/>
    </row>
    <row r="137" spans="1:21">
      <c r="A137" s="19"/>
      <c r="B137" s="161">
        <v>-216.15786318248871</v>
      </c>
      <c r="C137" s="161">
        <v>7.2097878367706936E-4</v>
      </c>
      <c r="D137" s="161">
        <v>8.5953586980153717E-6</v>
      </c>
      <c r="E137" s="161">
        <v>4.8273152439109709E-7</v>
      </c>
      <c r="F137" s="161">
        <v>1.2324605869818152E-4</v>
      </c>
      <c r="G137" s="161">
        <v>7.2489544609097536E-10</v>
      </c>
      <c r="H137" s="161">
        <v>1.2009177776770186E-15</v>
      </c>
      <c r="I137" s="161">
        <v>-3.2989619170090971E-3</v>
      </c>
      <c r="J137" s="161">
        <v>-1.0230846615382116E-3</v>
      </c>
      <c r="K137" s="161">
        <v>-4.8627825566400487E-3</v>
      </c>
      <c r="L137" s="161">
        <v>3.1480997953204004E-3</v>
      </c>
      <c r="M137" s="161">
        <v>9.3961533116754675E-3</v>
      </c>
      <c r="N137" s="161">
        <v>-2.2885889060910825E-9</v>
      </c>
      <c r="O137" s="161">
        <v>-6.4737258570741091E-6</v>
      </c>
      <c r="P137" s="161">
        <v>3.572705114317801E-10</v>
      </c>
      <c r="Q137" s="161">
        <v>-1.3287126593775757E-9</v>
      </c>
      <c r="R137" s="162"/>
      <c r="S137" s="162"/>
      <c r="T137" s="162"/>
      <c r="U137" s="161"/>
    </row>
    <row r="138" spans="1:21">
      <c r="A138" s="19"/>
      <c r="B138" s="161">
        <v>2.6781391271636765E-4</v>
      </c>
      <c r="C138" s="161">
        <v>5.0928269498585525E-10</v>
      </c>
      <c r="D138" s="161">
        <v>6.6509422863908615E-12</v>
      </c>
      <c r="E138" s="161">
        <v>2.355740462824205E-13</v>
      </c>
      <c r="F138" s="161">
        <v>-6.9781405835582052E-10</v>
      </c>
      <c r="G138" s="161">
        <v>-1.45925010834656E-14</v>
      </c>
      <c r="H138" s="161">
        <v>-1.7450788801602954E-20</v>
      </c>
      <c r="I138" s="161">
        <v>4.1506494745628694E-10</v>
      </c>
      <c r="J138" s="161">
        <v>-5.6544958308889211E-10</v>
      </c>
      <c r="K138" s="161">
        <v>8.2094382014576754E-10</v>
      </c>
      <c r="L138" s="161">
        <v>9.0798304038477443E-10</v>
      </c>
      <c r="M138" s="161">
        <v>-2.2885889060910825E-9</v>
      </c>
      <c r="N138" s="161">
        <v>5.5846265941875675E-14</v>
      </c>
      <c r="O138" s="161">
        <v>-2.9118245749052661E-11</v>
      </c>
      <c r="P138" s="161">
        <v>-1.7548995757255297E-14</v>
      </c>
      <c r="Q138" s="161">
        <v>-1.7030277415481438E-14</v>
      </c>
      <c r="R138" s="162"/>
      <c r="S138" s="162"/>
      <c r="T138" s="162"/>
      <c r="U138" s="161"/>
    </row>
    <row r="139" spans="1:21">
      <c r="A139" s="19"/>
      <c r="B139" s="161">
        <v>-2.4528180641274764</v>
      </c>
      <c r="C139" s="161">
        <v>1.3816477295248083E-6</v>
      </c>
      <c r="D139" s="161">
        <v>-1.6399070884043916E-6</v>
      </c>
      <c r="E139" s="161">
        <v>1.4935660171355305E-9</v>
      </c>
      <c r="F139" s="161">
        <v>-1.0936114436789542E-6</v>
      </c>
      <c r="G139" s="161">
        <v>1.8673305542288553E-13</v>
      </c>
      <c r="H139" s="161">
        <v>5.1430302396123677E-17</v>
      </c>
      <c r="I139" s="161">
        <v>5.3913995839109804E-7</v>
      </c>
      <c r="J139" s="161">
        <v>-1.2519439615797999E-7</v>
      </c>
      <c r="K139" s="161">
        <v>4.2256100258499968E-6</v>
      </c>
      <c r="L139" s="161">
        <v>-8.3859041410505672E-6</v>
      </c>
      <c r="M139" s="161">
        <v>-6.4737258570741091E-6</v>
      </c>
      <c r="N139" s="161">
        <v>-2.9118245749052661E-11</v>
      </c>
      <c r="O139" s="161">
        <v>3.2933642087658299E-6</v>
      </c>
      <c r="P139" s="161">
        <v>3.8586963496051732E-11</v>
      </c>
      <c r="Q139" s="161">
        <v>2.9056248447329071E-11</v>
      </c>
      <c r="R139" s="162"/>
      <c r="S139" s="162"/>
      <c r="T139" s="162"/>
      <c r="U139" s="161"/>
    </row>
    <row r="140" spans="1:21">
      <c r="A140" s="19"/>
      <c r="B140" s="161">
        <v>-2.9511240733792011E-4</v>
      </c>
      <c r="C140" s="161">
        <v>-7.1811957355664435E-10</v>
      </c>
      <c r="D140" s="161">
        <v>-3.4020544885671484E-11</v>
      </c>
      <c r="E140" s="161">
        <v>7.1307881760296015E-13</v>
      </c>
      <c r="F140" s="161">
        <v>7.4693281893810841E-11</v>
      </c>
      <c r="G140" s="161">
        <v>-1.88127484474001E-14</v>
      </c>
      <c r="H140" s="161">
        <v>1.1109369121365169E-21</v>
      </c>
      <c r="I140" s="161">
        <v>1.1477350137365299E-10</v>
      </c>
      <c r="J140" s="161">
        <v>2.4167989530957146E-9</v>
      </c>
      <c r="K140" s="161">
        <v>3.2755754776429107E-10</v>
      </c>
      <c r="L140" s="161">
        <v>-1.057043542501182E-9</v>
      </c>
      <c r="M140" s="161">
        <v>3.572705114317801E-10</v>
      </c>
      <c r="N140" s="161">
        <v>-1.7548995757255297E-14</v>
      </c>
      <c r="O140" s="161">
        <v>3.8586963496051732E-11</v>
      </c>
      <c r="P140" s="161">
        <v>1.0008016514810231E-13</v>
      </c>
      <c r="Q140" s="161">
        <v>2.8803549512232906E-14</v>
      </c>
      <c r="R140" s="162"/>
      <c r="S140" s="162"/>
      <c r="T140" s="162"/>
      <c r="U140" s="161"/>
    </row>
    <row r="141" spans="1:21">
      <c r="A141" s="19"/>
      <c r="B141" s="161">
        <v>-3.9444567390221978E-4</v>
      </c>
      <c r="C141" s="161">
        <v>-2.1409008431907621E-10</v>
      </c>
      <c r="D141" s="161">
        <v>-1.5288813167810347E-12</v>
      </c>
      <c r="E141" s="161">
        <v>-3.514152911522102E-13</v>
      </c>
      <c r="F141" s="161">
        <v>5.5968435630332908E-10</v>
      </c>
      <c r="G141" s="161">
        <v>-1.9357276808485812E-14</v>
      </c>
      <c r="H141" s="161">
        <v>-7.5413081430963433E-21</v>
      </c>
      <c r="I141" s="161">
        <v>6.6926272512748067E-11</v>
      </c>
      <c r="J141" s="161">
        <v>6.708355917224162E-10</v>
      </c>
      <c r="K141" s="161">
        <v>-1.1285404556656594E-10</v>
      </c>
      <c r="L141" s="161">
        <v>-5.3823222878005854E-10</v>
      </c>
      <c r="M141" s="161">
        <v>-1.3287126593775757E-9</v>
      </c>
      <c r="N141" s="161">
        <v>-1.7030277415481438E-14</v>
      </c>
      <c r="O141" s="161">
        <v>2.9056248447329071E-11</v>
      </c>
      <c r="P141" s="161">
        <v>2.8803549512232906E-14</v>
      </c>
      <c r="Q141" s="161">
        <v>6.6561721479081799E-14</v>
      </c>
      <c r="R141" s="162"/>
      <c r="S141" s="162"/>
      <c r="T141" s="162"/>
      <c r="U141" s="161"/>
    </row>
    <row r="142" spans="1:21">
      <c r="A142" s="19"/>
      <c r="B142" s="161"/>
      <c r="C142" s="161"/>
      <c r="D142" s="161"/>
      <c r="E142" s="161"/>
      <c r="F142" s="161"/>
      <c r="G142" s="161"/>
      <c r="H142" s="161"/>
      <c r="I142" s="161"/>
      <c r="J142" s="161"/>
      <c r="K142" s="161"/>
      <c r="L142" s="161"/>
      <c r="M142" s="161"/>
      <c r="N142" s="161"/>
      <c r="O142" s="161"/>
      <c r="P142" s="161"/>
      <c r="Q142" s="161"/>
      <c r="R142" s="162"/>
      <c r="S142" s="162"/>
      <c r="T142" s="162"/>
      <c r="U142" s="161"/>
    </row>
    <row r="143" spans="1:21">
      <c r="A143" s="19" t="s">
        <v>108</v>
      </c>
      <c r="B143" s="161" t="s">
        <v>97</v>
      </c>
      <c r="C143" s="147">
        <f t="shared" ref="C143:P143" si="8">IF(C144="B0",$E$2,
IF(C144="agec",$F$2,
IF(C144="agec2",$G$2,
IF(C144="agec3",$H$2,
IF(C144="sexq",$I$2,
IF(C144="tivc",$J$2,
IF(C144="tivc2",$K$2,
IF(C144="tivc3",$L$2,
IF(C144="MFSq",$M$2,
IF(C144="GE",$N$2,
IF(C144="Philips",$O$2,
IF(C144="GE_X_MFSq",$P$2,
IF(C144="Philips_X_MFSq",$Q$2,
IF(C144="tivc_X_MFSq",$R$2,
IF(C144="agec_X_sexq",$S$2,
IF(C144="tivc_X_GE",$T$2,
IF(C144="tivc_X_Philips",$U$2, "Error"
)))))))))))))))))</f>
        <v>1</v>
      </c>
      <c r="D143" s="147">
        <f t="shared" si="8"/>
        <v>-47.563461699999998</v>
      </c>
      <c r="E143" s="147">
        <f t="shared" si="8"/>
        <v>2262.2828888873669</v>
      </c>
      <c r="F143" s="147">
        <f t="shared" si="8"/>
        <v>-107602.00554015962</v>
      </c>
      <c r="G143" s="147">
        <f t="shared" si="8"/>
        <v>0</v>
      </c>
      <c r="H143" s="147">
        <f t="shared" si="8"/>
        <v>-1521907.28</v>
      </c>
      <c r="I143" s="147">
        <f t="shared" si="8"/>
        <v>2316201768916.9985</v>
      </c>
      <c r="J143" s="147">
        <f t="shared" si="8"/>
        <v>0</v>
      </c>
      <c r="K143" s="147">
        <f t="shared" si="8"/>
        <v>0</v>
      </c>
      <c r="L143" s="147">
        <f t="shared" si="8"/>
        <v>0</v>
      </c>
      <c r="M143" s="147">
        <f t="shared" si="8"/>
        <v>0</v>
      </c>
      <c r="N143" s="147">
        <f t="shared" si="8"/>
        <v>0</v>
      </c>
      <c r="O143" s="147">
        <f t="shared" si="8"/>
        <v>0</v>
      </c>
      <c r="P143" s="147">
        <f t="shared" si="8"/>
        <v>0</v>
      </c>
      <c r="Q143" s="161"/>
      <c r="R143" s="162"/>
      <c r="S143" s="162"/>
      <c r="T143" s="162"/>
      <c r="U143" s="161"/>
    </row>
    <row r="144" spans="1:21">
      <c r="A144" s="19"/>
      <c r="B144" s="161" t="s">
        <v>98</v>
      </c>
      <c r="C144" s="161" t="s">
        <v>42</v>
      </c>
      <c r="D144" s="161" t="s">
        <v>43</v>
      </c>
      <c r="E144" s="161" t="s">
        <v>57</v>
      </c>
      <c r="F144" s="161" t="s">
        <v>66</v>
      </c>
      <c r="G144" s="161" t="s">
        <v>69</v>
      </c>
      <c r="H144" s="161" t="s">
        <v>44</v>
      </c>
      <c r="I144" s="161" t="s">
        <v>45</v>
      </c>
      <c r="J144" s="161" t="s">
        <v>92</v>
      </c>
      <c r="K144" s="161" t="s">
        <v>1</v>
      </c>
      <c r="L144" s="161" t="s">
        <v>2</v>
      </c>
      <c r="M144" s="161" t="s">
        <v>93</v>
      </c>
      <c r="N144" s="161" t="s">
        <v>94</v>
      </c>
      <c r="O144" s="161" t="s">
        <v>107</v>
      </c>
      <c r="P144" s="161" t="s">
        <v>95</v>
      </c>
      <c r="Q144" s="161"/>
      <c r="R144" s="162"/>
      <c r="S144" s="162"/>
      <c r="T144" s="162"/>
      <c r="U144" s="161"/>
    </row>
    <row r="145" spans="1:21">
      <c r="A145" s="19"/>
      <c r="B145" s="161">
        <v>4175.1513335433419</v>
      </c>
      <c r="C145" s="161">
        <v>2.8871786918279415E-3</v>
      </c>
      <c r="D145" s="161">
        <v>-2.3847788036030663E-5</v>
      </c>
      <c r="E145" s="161">
        <v>-2.1933328521612238E-6</v>
      </c>
      <c r="F145" s="161">
        <v>4.1905095168996702E-8</v>
      </c>
      <c r="G145" s="161">
        <v>-1.3438517672275899E-3</v>
      </c>
      <c r="H145" s="161">
        <v>2.7060843145294655E-9</v>
      </c>
      <c r="I145" s="161">
        <v>-6.5473460208638588E-15</v>
      </c>
      <c r="J145" s="161">
        <v>-9.7090630596018503E-4</v>
      </c>
      <c r="K145" s="161">
        <v>-1.0413273687405915E-3</v>
      </c>
      <c r="L145" s="161">
        <v>-1.1259248152660514E-3</v>
      </c>
      <c r="M145" s="161">
        <v>1.4620049029105747E-3</v>
      </c>
      <c r="N145" s="161">
        <v>7.3048681243069165E-4</v>
      </c>
      <c r="O145" s="161">
        <v>3.062859519322986E-10</v>
      </c>
      <c r="P145" s="161">
        <v>1.5725009069219999E-6</v>
      </c>
      <c r="Q145" s="162"/>
      <c r="R145" s="162"/>
      <c r="S145" s="162"/>
      <c r="T145" s="162"/>
      <c r="U145" s="161"/>
    </row>
    <row r="146" spans="1:21">
      <c r="A146" s="19"/>
      <c r="B146" s="161">
        <v>-5.079339007107321</v>
      </c>
      <c r="C146" s="161">
        <v>-2.3847788036030663E-5</v>
      </c>
      <c r="D146" s="161">
        <v>6.5145655645005417E-6</v>
      </c>
      <c r="E146" s="161">
        <v>7.1495227879118127E-8</v>
      </c>
      <c r="F146" s="161">
        <v>-6.9739135361277368E-9</v>
      </c>
      <c r="G146" s="161">
        <v>5.2916510696441278E-6</v>
      </c>
      <c r="H146" s="161">
        <v>1.2252562328319829E-11</v>
      </c>
      <c r="I146" s="161">
        <v>5.4540384769900946E-18</v>
      </c>
      <c r="J146" s="161">
        <v>-1.0666411270509118E-5</v>
      </c>
      <c r="K146" s="161">
        <v>-8.250707985595633E-7</v>
      </c>
      <c r="L146" s="161">
        <v>-2.5511873936876389E-6</v>
      </c>
      <c r="M146" s="161">
        <v>-1.5211993030684941E-7</v>
      </c>
      <c r="N146" s="161">
        <v>1.4784522353226162E-5</v>
      </c>
      <c r="O146" s="161">
        <v>-8.2616121475045358E-12</v>
      </c>
      <c r="P146" s="161">
        <v>-1.6915524742822223E-6</v>
      </c>
      <c r="Q146" s="162"/>
      <c r="R146" s="162"/>
      <c r="S146" s="162"/>
      <c r="T146" s="162"/>
      <c r="U146" s="161"/>
    </row>
    <row r="147" spans="1:21">
      <c r="A147" s="19"/>
      <c r="B147" s="161">
        <v>-0.32832884882653662</v>
      </c>
      <c r="C147" s="161">
        <v>-2.1933328521612238E-6</v>
      </c>
      <c r="D147" s="161">
        <v>7.1495227879118127E-8</v>
      </c>
      <c r="E147" s="161">
        <v>5.2197987953258953E-9</v>
      </c>
      <c r="F147" s="161">
        <v>-1.2136207882512717E-10</v>
      </c>
      <c r="G147" s="161">
        <v>1.347012248734139E-7</v>
      </c>
      <c r="H147" s="161">
        <v>-8.5286367667662428E-13</v>
      </c>
      <c r="I147" s="161">
        <v>2.6728625511630992E-19</v>
      </c>
      <c r="J147" s="161">
        <v>-5.7577008558066127E-7</v>
      </c>
      <c r="K147" s="161">
        <v>-1.7319201960105712E-7</v>
      </c>
      <c r="L147" s="161">
        <v>3.2313904637338202E-7</v>
      </c>
      <c r="M147" s="161">
        <v>-4.8966924090656344E-7</v>
      </c>
      <c r="N147" s="161">
        <v>5.7339573627168982E-7</v>
      </c>
      <c r="O147" s="161">
        <v>1.5930770243794311E-13</v>
      </c>
      <c r="P147" s="161">
        <v>1.0250474583827427E-9</v>
      </c>
      <c r="Q147" s="162"/>
      <c r="R147" s="162"/>
      <c r="S147" s="162"/>
      <c r="T147" s="162"/>
      <c r="U147" s="161"/>
    </row>
    <row r="148" spans="1:21">
      <c r="A148" s="19"/>
      <c r="B148" s="161">
        <v>-3.5400553344050591E-3</v>
      </c>
      <c r="C148" s="161">
        <v>4.1905095168996702E-8</v>
      </c>
      <c r="D148" s="161">
        <v>-6.9739135361277368E-9</v>
      </c>
      <c r="E148" s="161">
        <v>-1.2136207882512717E-10</v>
      </c>
      <c r="F148" s="161">
        <v>1.0106309659848371E-11</v>
      </c>
      <c r="G148" s="161">
        <v>-6.9300013369127821E-9</v>
      </c>
      <c r="H148" s="161">
        <v>-1.4006086916637429E-15</v>
      </c>
      <c r="I148" s="161">
        <v>-2.1773095374963032E-20</v>
      </c>
      <c r="J148" s="161">
        <v>7.8021028224786636E-9</v>
      </c>
      <c r="K148" s="161">
        <v>2.5156167530878229E-9</v>
      </c>
      <c r="L148" s="161">
        <v>-1.401579420618761E-9</v>
      </c>
      <c r="M148" s="161">
        <v>1.4168772922668034E-8</v>
      </c>
      <c r="N148" s="161">
        <v>-8.3368518650517841E-9</v>
      </c>
      <c r="O148" s="161">
        <v>1.2713599627482578E-14</v>
      </c>
      <c r="P148" s="161">
        <v>5.3174143390088938E-11</v>
      </c>
      <c r="Q148" s="162"/>
      <c r="R148" s="162"/>
      <c r="S148" s="162"/>
      <c r="T148" s="162"/>
      <c r="U148" s="161"/>
    </row>
    <row r="149" spans="1:21">
      <c r="A149" s="19"/>
      <c r="B149" s="161">
        <v>16.394533839094429</v>
      </c>
      <c r="C149" s="161">
        <v>-1.3438517672275899E-3</v>
      </c>
      <c r="D149" s="161">
        <v>5.2916510696441278E-6</v>
      </c>
      <c r="E149" s="161">
        <v>1.347012248734139E-7</v>
      </c>
      <c r="F149" s="161">
        <v>-6.9300013369127821E-9</v>
      </c>
      <c r="G149" s="161">
        <v>2.3629539183880758E-3</v>
      </c>
      <c r="H149" s="161">
        <v>-3.6378223828525117E-9</v>
      </c>
      <c r="I149" s="161">
        <v>4.2997585920463574E-17</v>
      </c>
      <c r="J149" s="161">
        <v>2.5092499294925138E-4</v>
      </c>
      <c r="K149" s="161">
        <v>1.8192129554830348E-4</v>
      </c>
      <c r="L149" s="161">
        <v>-2.0205676975919605E-5</v>
      </c>
      <c r="M149" s="161">
        <v>-3.8934316294676996E-4</v>
      </c>
      <c r="N149" s="161">
        <v>1.2140753837853199E-4</v>
      </c>
      <c r="O149" s="161">
        <v>-4.9469815210065638E-10</v>
      </c>
      <c r="P149" s="161">
        <v>-1.0190405905509955E-6</v>
      </c>
      <c r="Q149" s="162"/>
      <c r="R149" s="162"/>
      <c r="S149" s="162"/>
      <c r="T149" s="162"/>
      <c r="U149" s="161"/>
    </row>
    <row r="150" spans="1:21">
      <c r="A150" s="19"/>
      <c r="B150" s="161">
        <v>1.2010937430436081E-3</v>
      </c>
      <c r="C150" s="161">
        <v>2.7060843145294655E-9</v>
      </c>
      <c r="D150" s="161">
        <v>1.2252562328319829E-11</v>
      </c>
      <c r="E150" s="161">
        <v>-8.5286367667662428E-13</v>
      </c>
      <c r="F150" s="161">
        <v>-1.4006086916637429E-15</v>
      </c>
      <c r="G150" s="161">
        <v>-3.6378223828525117E-9</v>
      </c>
      <c r="H150" s="161">
        <v>2.8581099420378304E-14</v>
      </c>
      <c r="I150" s="161">
        <v>4.5646913280467166E-21</v>
      </c>
      <c r="J150" s="161">
        <v>-8.2790991448231927E-10</v>
      </c>
      <c r="K150" s="161">
        <v>-1.2546570166963073E-10</v>
      </c>
      <c r="L150" s="161">
        <v>-9.4683070241240499E-10</v>
      </c>
      <c r="M150" s="161">
        <v>5.4290965409478901E-10</v>
      </c>
      <c r="N150" s="161">
        <v>7.2151393515518102E-10</v>
      </c>
      <c r="O150" s="161">
        <v>-2.2321303562506711E-14</v>
      </c>
      <c r="P150" s="161">
        <v>1.0288137639162331E-11</v>
      </c>
      <c r="Q150" s="162"/>
      <c r="R150" s="162"/>
      <c r="S150" s="162"/>
      <c r="T150" s="162"/>
      <c r="U150" s="161"/>
    </row>
    <row r="151" spans="1:21">
      <c r="A151" s="19"/>
      <c r="B151" s="161">
        <v>3.0837321083894966E-10</v>
      </c>
      <c r="C151" s="161">
        <v>-6.5473460208638588E-15</v>
      </c>
      <c r="D151" s="161">
        <v>5.4540384769900946E-18</v>
      </c>
      <c r="E151" s="161">
        <v>2.6728625511630992E-19</v>
      </c>
      <c r="F151" s="161">
        <v>-2.1773095374963032E-20</v>
      </c>
      <c r="G151" s="161">
        <v>4.2997585920463574E-17</v>
      </c>
      <c r="H151" s="161">
        <v>4.5646913280467166E-21</v>
      </c>
      <c r="I151" s="161">
        <v>2.148849038378953E-25</v>
      </c>
      <c r="J151" s="161">
        <v>5.8831989931210598E-16</v>
      </c>
      <c r="K151" s="161">
        <v>-7.3740730474898434E-16</v>
      </c>
      <c r="L151" s="161">
        <v>-1.8491238120224217E-15</v>
      </c>
      <c r="M151" s="161">
        <v>-7.0232320038757491E-16</v>
      </c>
      <c r="N151" s="161">
        <v>8.0673849456278799E-16</v>
      </c>
      <c r="O151" s="161">
        <v>-1.9650496681266038E-20</v>
      </c>
      <c r="P151" s="161">
        <v>6.6308372737920926E-17</v>
      </c>
      <c r="Q151" s="162"/>
      <c r="R151" s="162"/>
      <c r="S151" s="162"/>
      <c r="T151" s="162"/>
      <c r="U151" s="161"/>
    </row>
    <row r="152" spans="1:21">
      <c r="A152" s="19"/>
      <c r="B152" s="161">
        <v>-233.79853929750215</v>
      </c>
      <c r="C152" s="161">
        <v>-9.7090630596018503E-4</v>
      </c>
      <c r="D152" s="161">
        <v>-1.0666411270509118E-5</v>
      </c>
      <c r="E152" s="161">
        <v>-5.7577008558066127E-7</v>
      </c>
      <c r="F152" s="161">
        <v>7.8021028224786636E-9</v>
      </c>
      <c r="G152" s="161">
        <v>2.5092499294925138E-4</v>
      </c>
      <c r="H152" s="161">
        <v>-8.2790991448231927E-10</v>
      </c>
      <c r="I152" s="161">
        <v>5.8831989931210598E-16</v>
      </c>
      <c r="J152" s="161">
        <v>3.3889824363464507E-3</v>
      </c>
      <c r="K152" s="161">
        <v>1.0742100486445707E-3</v>
      </c>
      <c r="L152" s="161">
        <v>1.0117081972549553E-3</v>
      </c>
      <c r="M152" s="161">
        <v>-3.2481920028688137E-3</v>
      </c>
      <c r="N152" s="161">
        <v>-3.3717593079218397E-3</v>
      </c>
      <c r="O152" s="161">
        <v>5.7966387867904784E-10</v>
      </c>
      <c r="P152" s="161">
        <v>3.275312797658648E-7</v>
      </c>
      <c r="Q152" s="162"/>
      <c r="R152" s="162"/>
      <c r="S152" s="162"/>
      <c r="T152" s="162"/>
      <c r="U152" s="161"/>
    </row>
    <row r="153" spans="1:21">
      <c r="A153" s="19"/>
      <c r="B153" s="161">
        <v>265.38795187191079</v>
      </c>
      <c r="C153" s="161">
        <v>-1.0413273687405915E-3</v>
      </c>
      <c r="D153" s="161">
        <v>-8.250707985595633E-7</v>
      </c>
      <c r="E153" s="161">
        <v>-1.7319201960105712E-7</v>
      </c>
      <c r="F153" s="161">
        <v>2.5156167530878229E-9</v>
      </c>
      <c r="G153" s="161">
        <v>1.8192129554830348E-4</v>
      </c>
      <c r="H153" s="161">
        <v>-1.2546570166963073E-10</v>
      </c>
      <c r="I153" s="161">
        <v>-7.3740730474898434E-16</v>
      </c>
      <c r="J153" s="161">
        <v>1.0742100486445707E-3</v>
      </c>
      <c r="K153" s="161">
        <v>7.2738467634982842E-3</v>
      </c>
      <c r="L153" s="161">
        <v>1.0242471409387785E-3</v>
      </c>
      <c r="M153" s="161">
        <v>-7.2602827790092641E-3</v>
      </c>
      <c r="N153" s="161">
        <v>-1.04542236864048E-3</v>
      </c>
      <c r="O153" s="161">
        <v>-1.2220170102768157E-10</v>
      </c>
      <c r="P153" s="161">
        <v>-1.0337465590124461E-6</v>
      </c>
      <c r="Q153" s="162"/>
      <c r="R153" s="162"/>
      <c r="S153" s="162"/>
      <c r="T153" s="162"/>
      <c r="U153" s="161"/>
    </row>
    <row r="154" spans="1:21">
      <c r="A154" s="19"/>
      <c r="B154" s="161">
        <v>170.21267396118489</v>
      </c>
      <c r="C154" s="161">
        <v>-1.1259248152660514E-3</v>
      </c>
      <c r="D154" s="161">
        <v>-2.5511873936876389E-6</v>
      </c>
      <c r="E154" s="161">
        <v>3.2313904637338202E-7</v>
      </c>
      <c r="F154" s="161">
        <v>-1.401579420618761E-9</v>
      </c>
      <c r="G154" s="161">
        <v>-2.0205676975919605E-5</v>
      </c>
      <c r="H154" s="161">
        <v>-9.4683070241240499E-10</v>
      </c>
      <c r="I154" s="161">
        <v>-1.8491238120224217E-15</v>
      </c>
      <c r="J154" s="161">
        <v>1.0117081972549553E-3</v>
      </c>
      <c r="K154" s="161">
        <v>1.0242471409387785E-3</v>
      </c>
      <c r="L154" s="161">
        <v>5.088059656601261E-3</v>
      </c>
      <c r="M154" s="161">
        <v>-1.0643446664752108E-3</v>
      </c>
      <c r="N154" s="161">
        <v>-5.0216948954343137E-3</v>
      </c>
      <c r="O154" s="161">
        <v>1.0629253530587695E-9</v>
      </c>
      <c r="P154" s="161">
        <v>3.8253055732884192E-6</v>
      </c>
      <c r="Q154" s="162"/>
      <c r="R154" s="162"/>
      <c r="S154" s="162"/>
      <c r="T154" s="162"/>
      <c r="U154" s="161"/>
    </row>
    <row r="155" spans="1:21">
      <c r="A155" s="19"/>
      <c r="B155" s="161">
        <v>-131.28340445855727</v>
      </c>
      <c r="C155" s="161">
        <v>1.4620049029105747E-3</v>
      </c>
      <c r="D155" s="161">
        <v>-1.5211993030684941E-7</v>
      </c>
      <c r="E155" s="161">
        <v>-4.8966924090656344E-7</v>
      </c>
      <c r="F155" s="161">
        <v>1.4168772922668034E-8</v>
      </c>
      <c r="G155" s="161">
        <v>-3.8934316294676996E-4</v>
      </c>
      <c r="H155" s="161">
        <v>5.4290965409478901E-10</v>
      </c>
      <c r="I155" s="161">
        <v>-7.0232320038757491E-16</v>
      </c>
      <c r="J155" s="161">
        <v>-3.2481920028688137E-3</v>
      </c>
      <c r="K155" s="161">
        <v>-7.2602827790092641E-3</v>
      </c>
      <c r="L155" s="161">
        <v>-1.0643446664752108E-3</v>
      </c>
      <c r="M155" s="161">
        <v>1.3263582266544838E-2</v>
      </c>
      <c r="N155" s="161">
        <v>3.1736589139676496E-3</v>
      </c>
      <c r="O155" s="161">
        <v>7.4381133956132328E-10</v>
      </c>
      <c r="P155" s="161">
        <v>-8.5264080980417839E-6</v>
      </c>
      <c r="Q155" s="162"/>
      <c r="R155" s="162"/>
      <c r="S155" s="162"/>
      <c r="T155" s="162"/>
      <c r="U155" s="161"/>
    </row>
    <row r="156" spans="1:21">
      <c r="A156" s="19"/>
      <c r="B156" s="161">
        <v>-11.909915758977862</v>
      </c>
      <c r="C156" s="161">
        <v>7.3048681243069165E-4</v>
      </c>
      <c r="D156" s="161">
        <v>1.4784522353226162E-5</v>
      </c>
      <c r="E156" s="161">
        <v>5.7339573627168982E-7</v>
      </c>
      <c r="F156" s="161">
        <v>-8.3368518650517841E-9</v>
      </c>
      <c r="G156" s="161">
        <v>1.2140753837853199E-4</v>
      </c>
      <c r="H156" s="161">
        <v>7.2151393515518102E-10</v>
      </c>
      <c r="I156" s="161">
        <v>8.0673849456278799E-16</v>
      </c>
      <c r="J156" s="161">
        <v>-3.3717593079218397E-3</v>
      </c>
      <c r="K156" s="161">
        <v>-1.04542236864048E-3</v>
      </c>
      <c r="L156" s="161">
        <v>-5.0216948954343137E-3</v>
      </c>
      <c r="M156" s="161">
        <v>3.1736589139676496E-3</v>
      </c>
      <c r="N156" s="161">
        <v>9.586934180386501E-3</v>
      </c>
      <c r="O156" s="161">
        <v>-2.8073259753206462E-9</v>
      </c>
      <c r="P156" s="161">
        <v>-6.0374529766587628E-6</v>
      </c>
      <c r="Q156" s="162"/>
      <c r="R156" s="162"/>
      <c r="S156" s="162"/>
      <c r="T156" s="162"/>
      <c r="U156" s="161"/>
    </row>
    <row r="157" spans="1:21">
      <c r="A157" s="19"/>
      <c r="B157" s="161">
        <v>1.1844344384895724E-4</v>
      </c>
      <c r="C157" s="161">
        <v>3.062859519322986E-10</v>
      </c>
      <c r="D157" s="161">
        <v>-8.2616121475045358E-12</v>
      </c>
      <c r="E157" s="161">
        <v>1.5930770243794311E-13</v>
      </c>
      <c r="F157" s="161">
        <v>1.2713599627482578E-14</v>
      </c>
      <c r="G157" s="161">
        <v>-4.9469815210065638E-10</v>
      </c>
      <c r="H157" s="161">
        <v>-2.2321303562506711E-14</v>
      </c>
      <c r="I157" s="161">
        <v>-1.9650496681266038E-20</v>
      </c>
      <c r="J157" s="161">
        <v>5.7966387867904784E-10</v>
      </c>
      <c r="K157" s="161">
        <v>-1.2220170102768157E-10</v>
      </c>
      <c r="L157" s="161">
        <v>1.0629253530587695E-9</v>
      </c>
      <c r="M157" s="161">
        <v>7.4381133956132328E-10</v>
      </c>
      <c r="N157" s="161">
        <v>-2.8073259753206462E-9</v>
      </c>
      <c r="O157" s="161">
        <v>5.2047002760422539E-14</v>
      </c>
      <c r="P157" s="161">
        <v>-1.7971301359130443E-11</v>
      </c>
      <c r="Q157" s="162"/>
      <c r="R157" s="162"/>
      <c r="S157" s="162"/>
      <c r="T157" s="162"/>
      <c r="U157" s="161"/>
    </row>
    <row r="158" spans="1:21">
      <c r="A158" s="19"/>
      <c r="B158" s="161">
        <v>-2.1128314636777374</v>
      </c>
      <c r="C158" s="161">
        <v>1.5725009069219999E-6</v>
      </c>
      <c r="D158" s="161">
        <v>-1.6915524742822223E-6</v>
      </c>
      <c r="E158" s="161">
        <v>1.0250474583827427E-9</v>
      </c>
      <c r="F158" s="161">
        <v>5.3174143390088938E-11</v>
      </c>
      <c r="G158" s="161">
        <v>-1.0190405905509955E-6</v>
      </c>
      <c r="H158" s="161">
        <v>1.0288137639162331E-11</v>
      </c>
      <c r="I158" s="161">
        <v>6.6308372737920926E-17</v>
      </c>
      <c r="J158" s="161">
        <v>3.275312797658648E-7</v>
      </c>
      <c r="K158" s="161">
        <v>-1.0337465590124461E-6</v>
      </c>
      <c r="L158" s="161">
        <v>3.8253055732884192E-6</v>
      </c>
      <c r="M158" s="161">
        <v>-8.5264080980417839E-6</v>
      </c>
      <c r="N158" s="161">
        <v>-6.0374529766587628E-6</v>
      </c>
      <c r="O158" s="161">
        <v>-1.7971301359130443E-11</v>
      </c>
      <c r="P158" s="161">
        <v>3.3511298448163232E-6</v>
      </c>
      <c r="Q158" s="162"/>
      <c r="R158" s="162"/>
      <c r="S158" s="162"/>
      <c r="T158" s="162"/>
      <c r="U158" s="161"/>
    </row>
    <row r="159" spans="1:21">
      <c r="A159" s="19"/>
      <c r="B159" s="161"/>
      <c r="C159" s="161"/>
      <c r="D159" s="161"/>
      <c r="E159" s="161"/>
      <c r="F159" s="161"/>
      <c r="G159" s="161"/>
      <c r="H159" s="161"/>
      <c r="I159" s="161"/>
      <c r="J159" s="161"/>
      <c r="K159" s="161"/>
      <c r="L159" s="161"/>
      <c r="M159" s="161"/>
      <c r="N159" s="161"/>
      <c r="O159" s="161"/>
      <c r="P159" s="161"/>
      <c r="Q159" s="162"/>
      <c r="R159" s="162"/>
      <c r="S159" s="162"/>
      <c r="T159" s="162"/>
      <c r="U159" s="161"/>
    </row>
    <row r="160" spans="1:21">
      <c r="A160" s="19" t="s">
        <v>109</v>
      </c>
      <c r="B160" s="161" t="s">
        <v>97</v>
      </c>
      <c r="C160" s="147">
        <f t="shared" ref="C160:N160" si="9">IF(C161="B0",$E$2,
IF(C161="agec",$F$2,
IF(C161="agec2",$G$2,
IF(C161="agec3",$H$2,
IF(C161="sexq",$I$2,
IF(C161="tivc",$J$2,
IF(C161="tivc2",$K$2,
IF(C161="tivc3",$L$2,
IF(C161="MFSq",$M$2,
IF(C161="GE",$N$2,
IF(C161="Philips",$O$2,
IF(C161="GE_X_MFSq",$P$2,
IF(C161="Philips_X_MFSq",$Q$2,
IF(C161="tivc_X_MFSq",$R$2,
IF(C161="agec_X_sexq",$S$2,
IF(C161="tivc_X_GE",$T$2,
IF(C161="tivc_X_Philips",$U$2, "Error"
)))))))))))))))))</f>
        <v>1</v>
      </c>
      <c r="D160" s="147">
        <f t="shared" si="9"/>
        <v>-47.563461699999998</v>
      </c>
      <c r="E160" s="147">
        <f t="shared" si="9"/>
        <v>2262.2828888873669</v>
      </c>
      <c r="F160" s="147">
        <f t="shared" si="9"/>
        <v>-107602.00554015962</v>
      </c>
      <c r="G160" s="147">
        <f t="shared" si="9"/>
        <v>0</v>
      </c>
      <c r="H160" s="147">
        <f t="shared" si="9"/>
        <v>-1521907.28</v>
      </c>
      <c r="I160" s="147">
        <f t="shared" si="9"/>
        <v>0</v>
      </c>
      <c r="J160" s="147">
        <f t="shared" si="9"/>
        <v>0</v>
      </c>
      <c r="K160" s="147">
        <f t="shared" si="9"/>
        <v>0</v>
      </c>
      <c r="L160" s="147">
        <f t="shared" si="9"/>
        <v>0</v>
      </c>
      <c r="M160" s="147">
        <f t="shared" si="9"/>
        <v>0</v>
      </c>
      <c r="N160" s="147">
        <f t="shared" si="9"/>
        <v>0</v>
      </c>
      <c r="O160" s="161"/>
      <c r="P160" s="161"/>
      <c r="Q160" s="162"/>
      <c r="R160" s="162"/>
      <c r="S160" s="162"/>
      <c r="T160" s="162"/>
      <c r="U160" s="161"/>
    </row>
    <row r="161" spans="1:21">
      <c r="A161" s="19"/>
      <c r="B161" s="161" t="s">
        <v>98</v>
      </c>
      <c r="C161" s="161" t="s">
        <v>42</v>
      </c>
      <c r="D161" s="161" t="s">
        <v>43</v>
      </c>
      <c r="E161" s="161" t="s">
        <v>57</v>
      </c>
      <c r="F161" s="161" t="s">
        <v>66</v>
      </c>
      <c r="G161" s="161" t="s">
        <v>69</v>
      </c>
      <c r="H161" s="161" t="s">
        <v>44</v>
      </c>
      <c r="I161" s="161" t="s">
        <v>92</v>
      </c>
      <c r="J161" s="161" t="s">
        <v>1</v>
      </c>
      <c r="K161" s="161" t="s">
        <v>2</v>
      </c>
      <c r="L161" s="161" t="s">
        <v>93</v>
      </c>
      <c r="M161" s="161" t="s">
        <v>94</v>
      </c>
      <c r="N161" s="161" t="s">
        <v>95</v>
      </c>
      <c r="O161" s="161"/>
      <c r="P161" s="161"/>
      <c r="Q161" s="162"/>
      <c r="R161" s="162"/>
      <c r="S161" s="162"/>
      <c r="T161" s="162"/>
      <c r="U161" s="161"/>
    </row>
    <row r="162" spans="1:21">
      <c r="A162" s="19"/>
      <c r="B162" s="161">
        <v>4318.3294843772019</v>
      </c>
      <c r="C162" s="161">
        <v>2.6781522308866102E-3</v>
      </c>
      <c r="D162" s="161">
        <v>-2.4426573876102397E-5</v>
      </c>
      <c r="E162" s="161">
        <v>-2.1835217682592532E-6</v>
      </c>
      <c r="F162" s="161">
        <v>4.2076250731097899E-8</v>
      </c>
      <c r="G162" s="161">
        <v>-1.3382772277154762E-3</v>
      </c>
      <c r="H162" s="161">
        <v>2.6641584959586767E-9</v>
      </c>
      <c r="I162" s="161">
        <v>-9.4011915149093774E-4</v>
      </c>
      <c r="J162" s="161">
        <v>-1.0639516254479016E-3</v>
      </c>
      <c r="K162" s="161">
        <v>-1.1764374017622383E-3</v>
      </c>
      <c r="L162" s="161">
        <v>1.4328148045042882E-3</v>
      </c>
      <c r="M162" s="161">
        <v>7.3553793970202537E-4</v>
      </c>
      <c r="N162" s="161">
        <v>3.5776879892014842E-6</v>
      </c>
      <c r="O162" s="162"/>
      <c r="P162" s="162"/>
      <c r="Q162" s="162"/>
      <c r="R162" s="162"/>
      <c r="S162" s="162"/>
      <c r="T162" s="162"/>
      <c r="U162" s="161"/>
    </row>
    <row r="163" spans="1:21">
      <c r="A163" s="19"/>
      <c r="B163" s="161">
        <v>-3.2894823438854099</v>
      </c>
      <c r="C163" s="161">
        <v>-2.4426573876102397E-5</v>
      </c>
      <c r="D163" s="161">
        <v>6.4515267594477028E-6</v>
      </c>
      <c r="E163" s="161">
        <v>7.2373639900764797E-8</v>
      </c>
      <c r="F163" s="161">
        <v>-6.8931661058007423E-9</v>
      </c>
      <c r="G163" s="161">
        <v>5.0543829822589326E-6</v>
      </c>
      <c r="H163" s="161">
        <v>7.4376423894064384E-12</v>
      </c>
      <c r="I163" s="161">
        <v>-1.0360901154652811E-5</v>
      </c>
      <c r="J163" s="161">
        <v>-1.4754000567014664E-6</v>
      </c>
      <c r="K163" s="161">
        <v>-9.9724873904256917E-7</v>
      </c>
      <c r="L163" s="161">
        <v>-1.3336798050530911E-7</v>
      </c>
      <c r="M163" s="161">
        <v>1.3296355476604434E-5</v>
      </c>
      <c r="N163" s="161">
        <v>-1.6949403351010129E-6</v>
      </c>
      <c r="O163" s="162"/>
      <c r="P163" s="162"/>
      <c r="Q163" s="162"/>
      <c r="R163" s="162"/>
      <c r="S163" s="162"/>
      <c r="T163" s="162"/>
      <c r="U163" s="161"/>
    </row>
    <row r="164" spans="1:21">
      <c r="A164" s="19"/>
      <c r="B164" s="161">
        <v>-0.33127044898506847</v>
      </c>
      <c r="C164" s="161">
        <v>-2.1835217682592532E-6</v>
      </c>
      <c r="D164" s="161">
        <v>7.2373639900764797E-8</v>
      </c>
      <c r="E164" s="161">
        <v>5.2227627224623926E-9</v>
      </c>
      <c r="F164" s="161">
        <v>-1.2261011314227055E-10</v>
      </c>
      <c r="G164" s="161">
        <v>1.2355095627109286E-7</v>
      </c>
      <c r="H164" s="161">
        <v>-7.2418746146555846E-13</v>
      </c>
      <c r="I164" s="161">
        <v>-5.7247744333278817E-7</v>
      </c>
      <c r="J164" s="161">
        <v>-1.6353791842450219E-7</v>
      </c>
      <c r="K164" s="161">
        <v>3.4155971293091675E-7</v>
      </c>
      <c r="L164" s="161">
        <v>-5.0739366675416712E-7</v>
      </c>
      <c r="M164" s="161">
        <v>5.5945775258775866E-7</v>
      </c>
      <c r="N164" s="161">
        <v>1.0528334460743684E-9</v>
      </c>
      <c r="O164" s="162"/>
      <c r="P164" s="162"/>
      <c r="Q164" s="162"/>
      <c r="R164" s="162"/>
      <c r="S164" s="162"/>
      <c r="T164" s="162"/>
      <c r="U164" s="161"/>
    </row>
    <row r="165" spans="1:21">
      <c r="A165" s="19"/>
      <c r="B165" s="161">
        <v>-4.3183848136350679E-3</v>
      </c>
      <c r="C165" s="161">
        <v>4.2076250731097899E-8</v>
      </c>
      <c r="D165" s="161">
        <v>-6.8931661058007423E-9</v>
      </c>
      <c r="E165" s="161">
        <v>-1.2261011314227055E-10</v>
      </c>
      <c r="F165" s="161">
        <v>9.9849318773203905E-12</v>
      </c>
      <c r="G165" s="161">
        <v>-6.3535201192308981E-9</v>
      </c>
      <c r="H165" s="161">
        <v>4.6324595420799766E-15</v>
      </c>
      <c r="I165" s="161">
        <v>7.5446995391044763E-9</v>
      </c>
      <c r="J165" s="161">
        <v>2.8346716906141547E-9</v>
      </c>
      <c r="K165" s="161">
        <v>-3.1779431605303865E-9</v>
      </c>
      <c r="L165" s="161">
        <v>1.4754744152589566E-8</v>
      </c>
      <c r="M165" s="161">
        <v>-6.6664705408112545E-9</v>
      </c>
      <c r="N165" s="161">
        <v>7.4188953771020582E-11</v>
      </c>
      <c r="O165" s="162"/>
      <c r="P165" s="162"/>
      <c r="Q165" s="162"/>
      <c r="R165" s="162"/>
      <c r="S165" s="162"/>
      <c r="T165" s="162"/>
      <c r="U165" s="161"/>
    </row>
    <row r="166" spans="1:21">
      <c r="A166" s="19"/>
      <c r="B166" s="161">
        <v>11.581423062349732</v>
      </c>
      <c r="C166" s="161">
        <v>-1.3382772277154762E-3</v>
      </c>
      <c r="D166" s="161">
        <v>5.0543829822589326E-6</v>
      </c>
      <c r="E166" s="161">
        <v>1.2355095627109286E-7</v>
      </c>
      <c r="F166" s="161">
        <v>-6.3535201192308981E-9</v>
      </c>
      <c r="G166" s="161">
        <v>2.3440171696588394E-3</v>
      </c>
      <c r="H166" s="161">
        <v>-3.8355304963494282E-9</v>
      </c>
      <c r="I166" s="161">
        <v>2.5096209185095867E-4</v>
      </c>
      <c r="J166" s="161">
        <v>1.8118282171625762E-4</v>
      </c>
      <c r="K166" s="161">
        <v>-9.6448918740056799E-6</v>
      </c>
      <c r="L166" s="161">
        <v>-3.6079240881670572E-4</v>
      </c>
      <c r="M166" s="161">
        <v>1.0244810799195413E-4</v>
      </c>
      <c r="N166" s="161">
        <v>-1.5820663751291697E-6</v>
      </c>
      <c r="O166" s="162"/>
      <c r="P166" s="162"/>
      <c r="Q166" s="162"/>
      <c r="R166" s="162"/>
      <c r="S166" s="162"/>
      <c r="T166" s="162"/>
      <c r="U166" s="161"/>
    </row>
    <row r="167" spans="1:21">
      <c r="A167" s="19"/>
      <c r="B167" s="161">
        <v>1.2868873120107174E-3</v>
      </c>
      <c r="C167" s="161">
        <v>2.6641584959586767E-9</v>
      </c>
      <c r="D167" s="161">
        <v>7.4376423894064384E-12</v>
      </c>
      <c r="E167" s="161">
        <v>-7.2418746146555846E-13</v>
      </c>
      <c r="F167" s="161">
        <v>4.6324595420799766E-15</v>
      </c>
      <c r="G167" s="161">
        <v>-3.8355304963494282E-9</v>
      </c>
      <c r="H167" s="161">
        <v>1.8761384932804655E-14</v>
      </c>
      <c r="I167" s="161">
        <v>-5.3558709318353649E-10</v>
      </c>
      <c r="J167" s="161">
        <v>-1.9748953245560575E-10</v>
      </c>
      <c r="K167" s="161">
        <v>-4.8643250220060847E-10</v>
      </c>
      <c r="L167" s="161">
        <v>8.1347690865065527E-10</v>
      </c>
      <c r="M167" s="161">
        <v>-5.0702769130904114E-10</v>
      </c>
      <c r="N167" s="161">
        <v>3.9594784779838605E-12</v>
      </c>
      <c r="O167" s="162"/>
      <c r="P167" s="162"/>
      <c r="Q167" s="162"/>
      <c r="R167" s="162"/>
      <c r="S167" s="162"/>
      <c r="T167" s="162"/>
      <c r="U167" s="161"/>
    </row>
    <row r="168" spans="1:21">
      <c r="A168" s="19"/>
      <c r="B168" s="161">
        <v>-298.3663965652172</v>
      </c>
      <c r="C168" s="161">
        <v>-9.4011915149093774E-4</v>
      </c>
      <c r="D168" s="161">
        <v>-1.0360901154652811E-5</v>
      </c>
      <c r="E168" s="161">
        <v>-5.7247744333278817E-7</v>
      </c>
      <c r="F168" s="161">
        <v>7.5446995391044763E-9</v>
      </c>
      <c r="G168" s="161">
        <v>2.5096209185095867E-4</v>
      </c>
      <c r="H168" s="161">
        <v>-5.3558709318353649E-10</v>
      </c>
      <c r="I168" s="161">
        <v>3.3401776073222599E-3</v>
      </c>
      <c r="J168" s="161">
        <v>1.0733563326525263E-3</v>
      </c>
      <c r="K168" s="161">
        <v>9.9432786177665387E-4</v>
      </c>
      <c r="L168" s="161">
        <v>-3.2179160187726006E-3</v>
      </c>
      <c r="M168" s="161">
        <v>-3.2992338212737803E-3</v>
      </c>
      <c r="N168" s="161">
        <v>3.1150872433742134E-7</v>
      </c>
      <c r="O168" s="162"/>
      <c r="P168" s="162"/>
      <c r="Q168" s="162"/>
      <c r="R168" s="162"/>
      <c r="S168" s="162"/>
      <c r="T168" s="162"/>
      <c r="U168" s="161"/>
    </row>
    <row r="169" spans="1:21">
      <c r="A169" s="19"/>
      <c r="B169" s="161">
        <v>181.41562393883763</v>
      </c>
      <c r="C169" s="161">
        <v>-1.0639516254479016E-3</v>
      </c>
      <c r="D169" s="161">
        <v>-1.4754000567014664E-6</v>
      </c>
      <c r="E169" s="161">
        <v>-1.6353791842450219E-7</v>
      </c>
      <c r="F169" s="161">
        <v>2.8346716906141547E-9</v>
      </c>
      <c r="G169" s="161">
        <v>1.8118282171625762E-4</v>
      </c>
      <c r="H169" s="161">
        <v>-1.9748953245560575E-10</v>
      </c>
      <c r="I169" s="161">
        <v>1.0733563326525263E-3</v>
      </c>
      <c r="J169" s="161">
        <v>7.225581416762464E-3</v>
      </c>
      <c r="K169" s="161">
        <v>1.0152683461831743E-3</v>
      </c>
      <c r="L169" s="161">
        <v>-7.2161584630116571E-3</v>
      </c>
      <c r="M169" s="161">
        <v>-1.047103659599356E-3</v>
      </c>
      <c r="N169" s="161">
        <v>-9.1240391898811779E-7</v>
      </c>
      <c r="O169" s="162"/>
      <c r="P169" s="162"/>
      <c r="Q169" s="162"/>
      <c r="R169" s="162"/>
      <c r="S169" s="162"/>
      <c r="T169" s="162"/>
      <c r="U169" s="161"/>
    </row>
    <row r="170" spans="1:21">
      <c r="A170" s="19"/>
      <c r="B170" s="161">
        <v>43.352624450696226</v>
      </c>
      <c r="C170" s="161">
        <v>-1.1764374017622383E-3</v>
      </c>
      <c r="D170" s="161">
        <v>-9.9724873904256917E-7</v>
      </c>
      <c r="E170" s="161">
        <v>3.4155971293091675E-7</v>
      </c>
      <c r="F170" s="161">
        <v>-3.1779431605303865E-9</v>
      </c>
      <c r="G170" s="161">
        <v>-9.6448918740056799E-6</v>
      </c>
      <c r="H170" s="161">
        <v>-4.8643250220060847E-10</v>
      </c>
      <c r="I170" s="161">
        <v>9.9432786177665387E-4</v>
      </c>
      <c r="J170" s="161">
        <v>1.0152683461831743E-3</v>
      </c>
      <c r="K170" s="161">
        <v>5.0330602713798108E-3</v>
      </c>
      <c r="L170" s="161">
        <v>-1.0769787903519635E-3</v>
      </c>
      <c r="M170" s="161">
        <v>-4.940377292703157E-3</v>
      </c>
      <c r="N170" s="161">
        <v>4.467889582355751E-6</v>
      </c>
      <c r="O170" s="17"/>
      <c r="P170" s="17"/>
      <c r="Q170" s="162"/>
      <c r="R170" s="162"/>
      <c r="S170" s="162"/>
      <c r="T170" s="162"/>
      <c r="U170" s="161"/>
    </row>
    <row r="171" spans="1:21">
      <c r="A171" s="19"/>
      <c r="B171" s="161">
        <v>-82.896967053611675</v>
      </c>
      <c r="C171" s="161">
        <v>1.4328148045042882E-3</v>
      </c>
      <c r="D171" s="161">
        <v>-1.3336798050530911E-7</v>
      </c>
      <c r="E171" s="161">
        <v>-5.0739366675416712E-7</v>
      </c>
      <c r="F171" s="161">
        <v>1.4754744152589566E-8</v>
      </c>
      <c r="G171" s="161">
        <v>-3.6079240881670572E-4</v>
      </c>
      <c r="H171" s="161">
        <v>8.1347690865065527E-10</v>
      </c>
      <c r="I171" s="161">
        <v>-3.2179160187726006E-3</v>
      </c>
      <c r="J171" s="161">
        <v>-7.2161584630116571E-3</v>
      </c>
      <c r="K171" s="161">
        <v>-1.0769787903519635E-3</v>
      </c>
      <c r="L171" s="161">
        <v>1.3128259412059046E-2</v>
      </c>
      <c r="M171" s="161">
        <v>3.180148395838067E-3</v>
      </c>
      <c r="N171" s="161">
        <v>-8.3666763369328895E-6</v>
      </c>
      <c r="O171" s="162"/>
      <c r="P171" s="162"/>
      <c r="Q171" s="162"/>
      <c r="R171" s="162"/>
      <c r="S171" s="162"/>
      <c r="T171" s="162"/>
      <c r="U171" s="161"/>
    </row>
    <row r="172" spans="1:21">
      <c r="A172" s="19"/>
      <c r="B172" s="161">
        <v>96.771337138259696</v>
      </c>
      <c r="C172" s="161">
        <v>7.3553793970202537E-4</v>
      </c>
      <c r="D172" s="161">
        <v>1.3296355476604434E-5</v>
      </c>
      <c r="E172" s="161">
        <v>5.5945775258775866E-7</v>
      </c>
      <c r="F172" s="161">
        <v>-6.6664705408112545E-9</v>
      </c>
      <c r="G172" s="161">
        <v>1.0244810799195413E-4</v>
      </c>
      <c r="H172" s="161">
        <v>-5.0702769130904114E-10</v>
      </c>
      <c r="I172" s="161">
        <v>-3.2992338212737803E-3</v>
      </c>
      <c r="J172" s="161">
        <v>-1.047103659599356E-3</v>
      </c>
      <c r="K172" s="161">
        <v>-4.940377292703157E-3</v>
      </c>
      <c r="L172" s="161">
        <v>3.180148395838067E-3</v>
      </c>
      <c r="M172" s="161">
        <v>9.3642661105178843E-3</v>
      </c>
      <c r="N172" s="161">
        <v>-6.6950039430018278E-6</v>
      </c>
      <c r="O172" s="162"/>
      <c r="P172" s="162"/>
      <c r="Q172" s="162"/>
      <c r="R172" s="162"/>
      <c r="S172" s="162"/>
      <c r="T172" s="162"/>
      <c r="U172" s="161"/>
    </row>
    <row r="173" spans="1:21">
      <c r="A173" s="19"/>
      <c r="B173" s="161">
        <v>-2.1054966399726958</v>
      </c>
      <c r="C173" s="161">
        <v>3.5776879892014842E-6</v>
      </c>
      <c r="D173" s="161">
        <v>-1.6949403351010129E-6</v>
      </c>
      <c r="E173" s="161">
        <v>1.0528334460743684E-9</v>
      </c>
      <c r="F173" s="161">
        <v>7.4188953771020582E-11</v>
      </c>
      <c r="G173" s="161">
        <v>-1.5820663751291697E-6</v>
      </c>
      <c r="H173" s="161">
        <v>3.9594784779838605E-12</v>
      </c>
      <c r="I173" s="161">
        <v>3.1150872433742134E-7</v>
      </c>
      <c r="J173" s="161">
        <v>-9.1240391898811779E-7</v>
      </c>
      <c r="K173" s="161">
        <v>4.467889582355751E-6</v>
      </c>
      <c r="L173" s="161">
        <v>-8.3666763369328895E-6</v>
      </c>
      <c r="M173" s="161">
        <v>-6.6950039430018278E-6</v>
      </c>
      <c r="N173" s="161">
        <v>3.2942030969424753E-6</v>
      </c>
      <c r="O173" s="162"/>
      <c r="P173" s="162"/>
      <c r="Q173" s="162"/>
      <c r="R173" s="162"/>
      <c r="S173" s="162"/>
      <c r="T173" s="162"/>
      <c r="U173" s="161"/>
    </row>
    <row r="174" spans="1:21">
      <c r="A174" s="19"/>
      <c r="B174" s="161"/>
      <c r="C174" s="161"/>
      <c r="D174" s="161"/>
      <c r="E174" s="161"/>
      <c r="F174" s="161"/>
      <c r="G174" s="161"/>
      <c r="H174" s="161"/>
      <c r="I174" s="161"/>
      <c r="J174" s="161"/>
      <c r="K174" s="161"/>
      <c r="L174" s="161"/>
      <c r="M174" s="161"/>
      <c r="N174" s="161"/>
      <c r="O174" s="162"/>
      <c r="P174" s="162"/>
      <c r="Q174" s="162"/>
      <c r="R174" s="162"/>
      <c r="S174" s="162"/>
      <c r="T174" s="162"/>
      <c r="U174" s="161"/>
    </row>
    <row r="175" spans="1:21">
      <c r="A175" s="19" t="s">
        <v>110</v>
      </c>
      <c r="B175" s="161" t="s">
        <v>97</v>
      </c>
      <c r="C175" s="147">
        <f t="shared" ref="C175:O175" si="10">IF(C176="B0",$E$2,
IF(C176="agec",$F$2,
IF(C176="agec2",$G$2,
IF(C176="agec3",$H$2,
IF(C176="sexq",$I$2,
IF(C176="tivc",$J$2,
IF(C176="tivc2",$K$2,
IF(C176="tivc3",$L$2,
IF(C176="MFSq",$M$2,
IF(C176="GE",$N$2,
IF(C176="Philips",$O$2,
IF(C176="GE_X_MFSq",$P$2,
IF(C176="Philips_X_MFSq",$Q$2,
IF(C176="tivc_X_MFSq",$R$2,
IF(C176="agec_X_sexq",$S$2,
IF(C176="tivc_X_GE",$T$2,
IF(C176="tivc_X_Philips",$U$2, "Error"
)))))))))))))))))</f>
        <v>1</v>
      </c>
      <c r="D175" s="147">
        <f t="shared" si="10"/>
        <v>-47.563461699999998</v>
      </c>
      <c r="E175" s="147">
        <f t="shared" si="10"/>
        <v>2262.2828888873669</v>
      </c>
      <c r="F175" s="147">
        <f t="shared" si="10"/>
        <v>-107602.00554015962</v>
      </c>
      <c r="G175" s="147">
        <f t="shared" si="10"/>
        <v>0</v>
      </c>
      <c r="H175" s="147">
        <f t="shared" si="10"/>
        <v>-1521907.28</v>
      </c>
      <c r="I175" s="147">
        <f t="shared" si="10"/>
        <v>2316201768916.9985</v>
      </c>
      <c r="J175" s="147">
        <f t="shared" si="10"/>
        <v>0</v>
      </c>
      <c r="K175" s="147">
        <f t="shared" si="10"/>
        <v>0</v>
      </c>
      <c r="L175" s="147">
        <f t="shared" si="10"/>
        <v>0</v>
      </c>
      <c r="M175" s="147">
        <f t="shared" si="10"/>
        <v>0</v>
      </c>
      <c r="N175" s="147">
        <f t="shared" si="10"/>
        <v>0</v>
      </c>
      <c r="O175" s="147">
        <f t="shared" si="10"/>
        <v>0</v>
      </c>
      <c r="P175" s="162"/>
      <c r="Q175" s="162"/>
      <c r="R175" s="162"/>
      <c r="S175" s="162"/>
      <c r="T175" s="162"/>
      <c r="U175" s="161"/>
    </row>
    <row r="176" spans="1:21">
      <c r="A176" s="19"/>
      <c r="B176" s="161" t="s">
        <v>98</v>
      </c>
      <c r="C176" s="161" t="s">
        <v>42</v>
      </c>
      <c r="D176" s="161" t="s">
        <v>43</v>
      </c>
      <c r="E176" s="161" t="s">
        <v>57</v>
      </c>
      <c r="F176" s="161" t="s">
        <v>66</v>
      </c>
      <c r="G176" s="161" t="s">
        <v>69</v>
      </c>
      <c r="H176" s="161" t="s">
        <v>44</v>
      </c>
      <c r="I176" s="161" t="s">
        <v>45</v>
      </c>
      <c r="J176" s="161" t="s">
        <v>92</v>
      </c>
      <c r="K176" s="161" t="s">
        <v>1</v>
      </c>
      <c r="L176" s="161" t="s">
        <v>2</v>
      </c>
      <c r="M176" s="161" t="s">
        <v>93</v>
      </c>
      <c r="N176" s="161" t="s">
        <v>94</v>
      </c>
      <c r="O176" s="161" t="s">
        <v>95</v>
      </c>
      <c r="P176" s="162"/>
      <c r="Q176" s="162"/>
      <c r="R176" s="162"/>
      <c r="S176" s="162"/>
      <c r="T176" s="162"/>
      <c r="U176" s="161"/>
    </row>
    <row r="177" spans="1:21">
      <c r="A177" s="19"/>
      <c r="B177" s="161">
        <v>1359.7579769378401</v>
      </c>
      <c r="C177" s="161">
        <v>2.8284601455906256E-3</v>
      </c>
      <c r="D177" s="161">
        <v>-2.4316817727518639E-5</v>
      </c>
      <c r="E177" s="161">
        <v>-2.1603792323858368E-6</v>
      </c>
      <c r="F177" s="161">
        <v>4.1965645306071838E-8</v>
      </c>
      <c r="G177" s="161">
        <v>-1.3090964684211246E-3</v>
      </c>
      <c r="H177" s="161">
        <v>2.6726299912148891E-9</v>
      </c>
      <c r="I177" s="161">
        <v>-5.9924689728999642E-15</v>
      </c>
      <c r="J177" s="161">
        <v>-9.5800195874396973E-4</v>
      </c>
      <c r="K177" s="161">
        <v>-1.018707049693096E-3</v>
      </c>
      <c r="L177" s="161">
        <v>-1.0863032962853552E-3</v>
      </c>
      <c r="M177" s="161">
        <v>1.4121354718877393E-3</v>
      </c>
      <c r="N177" s="161">
        <v>7.08129449558561E-4</v>
      </c>
      <c r="O177" s="161">
        <v>2.0742436933171338E-6</v>
      </c>
      <c r="P177" s="162"/>
      <c r="Q177" s="162"/>
      <c r="R177" s="162"/>
      <c r="S177" s="162"/>
      <c r="T177" s="162"/>
      <c r="U177" s="161"/>
    </row>
    <row r="178" spans="1:21">
      <c r="A178" s="19"/>
      <c r="B178" s="161">
        <v>-2.8726507339091603</v>
      </c>
      <c r="C178" s="161">
        <v>-2.4316817727518639E-5</v>
      </c>
      <c r="D178" s="161">
        <v>6.3661974506152678E-6</v>
      </c>
      <c r="E178" s="161">
        <v>7.1086247190210977E-8</v>
      </c>
      <c r="F178" s="161">
        <v>-6.8036556002980244E-9</v>
      </c>
      <c r="G178" s="161">
        <v>5.5834418043979312E-6</v>
      </c>
      <c r="H178" s="161">
        <v>5.8104553016156E-12</v>
      </c>
      <c r="I178" s="161">
        <v>9.0935142543968516E-18</v>
      </c>
      <c r="J178" s="161">
        <v>-1.0501418774735773E-5</v>
      </c>
      <c r="K178" s="161">
        <v>-9.2193087421270976E-7</v>
      </c>
      <c r="L178" s="161">
        <v>-1.9758961937699047E-6</v>
      </c>
      <c r="M178" s="161">
        <v>-7.6332598969879297E-8</v>
      </c>
      <c r="N178" s="161">
        <v>1.4316946005043608E-5</v>
      </c>
      <c r="O178" s="161">
        <v>-1.6642107273539532E-6</v>
      </c>
      <c r="P178" s="162"/>
      <c r="Q178" s="162"/>
      <c r="R178" s="162"/>
      <c r="S178" s="162"/>
      <c r="T178" s="162"/>
      <c r="U178" s="161"/>
    </row>
    <row r="179" spans="1:21">
      <c r="A179" s="19"/>
      <c r="B179" s="161">
        <v>0.13040378156572838</v>
      </c>
      <c r="C179" s="161">
        <v>-2.1603792323858368E-6</v>
      </c>
      <c r="D179" s="161">
        <v>7.1086247190210977E-8</v>
      </c>
      <c r="E179" s="161">
        <v>5.1375213326513912E-9</v>
      </c>
      <c r="F179" s="161">
        <v>-1.2015858976146789E-10</v>
      </c>
      <c r="G179" s="161">
        <v>1.2722734699728975E-7</v>
      </c>
      <c r="H179" s="161">
        <v>-7.2867721752295106E-13</v>
      </c>
      <c r="I179" s="161">
        <v>5.2618051137668998E-19</v>
      </c>
      <c r="J179" s="161">
        <v>-5.7068938349530656E-7</v>
      </c>
      <c r="K179" s="161">
        <v>-1.7777086780142843E-7</v>
      </c>
      <c r="L179" s="161">
        <v>3.0976276044084581E-7</v>
      </c>
      <c r="M179" s="161">
        <v>-4.6372364496199963E-7</v>
      </c>
      <c r="N179" s="161">
        <v>5.7186023568315615E-7</v>
      </c>
      <c r="O179" s="161">
        <v>7.2524673475602658E-10</v>
      </c>
      <c r="P179" s="162"/>
      <c r="Q179" s="162"/>
      <c r="R179" s="162"/>
      <c r="S179" s="162"/>
      <c r="T179" s="162"/>
      <c r="U179" s="161"/>
    </row>
    <row r="180" spans="1:21">
      <c r="A180" s="19"/>
      <c r="B180" s="161">
        <v>-2.0505209717468073E-3</v>
      </c>
      <c r="C180" s="161">
        <v>4.1965645306071838E-8</v>
      </c>
      <c r="D180" s="161">
        <v>-6.8036556002980244E-9</v>
      </c>
      <c r="E180" s="161">
        <v>-1.2015858976146789E-10</v>
      </c>
      <c r="F180" s="161">
        <v>9.8685155253194669E-12</v>
      </c>
      <c r="G180" s="161">
        <v>-7.0823137086078119E-9</v>
      </c>
      <c r="H180" s="161">
        <v>5.7126430479423044E-15</v>
      </c>
      <c r="I180" s="161">
        <v>-1.8129451360242326E-20</v>
      </c>
      <c r="J180" s="161">
        <v>7.4435659218293527E-9</v>
      </c>
      <c r="K180" s="161">
        <v>2.3166893769931773E-9</v>
      </c>
      <c r="L180" s="161">
        <v>-2.0488705718277379E-9</v>
      </c>
      <c r="M180" s="161">
        <v>1.4173344967309066E-8</v>
      </c>
      <c r="N180" s="161">
        <v>-7.4745269443631575E-9</v>
      </c>
      <c r="O180" s="161">
        <v>5.2803563412272022E-11</v>
      </c>
      <c r="P180" s="162"/>
      <c r="Q180" s="162"/>
      <c r="R180" s="162"/>
      <c r="S180" s="162"/>
      <c r="T180" s="162"/>
      <c r="U180" s="161"/>
    </row>
    <row r="181" spans="1:21">
      <c r="A181" s="19"/>
      <c r="B181" s="161">
        <v>65.389527336074593</v>
      </c>
      <c r="C181" s="161">
        <v>-1.3090964684211246E-3</v>
      </c>
      <c r="D181" s="161">
        <v>5.5834418043979312E-6</v>
      </c>
      <c r="E181" s="161">
        <v>1.2722734699728975E-7</v>
      </c>
      <c r="F181" s="161">
        <v>-7.0823137086078119E-9</v>
      </c>
      <c r="G181" s="161">
        <v>2.3083889101619204E-3</v>
      </c>
      <c r="H181" s="161">
        <v>-3.7214785459468851E-9</v>
      </c>
      <c r="I181" s="161">
        <v>-2.2486552701105672E-16</v>
      </c>
      <c r="J181" s="161">
        <v>2.445787207745174E-4</v>
      </c>
      <c r="K181" s="161">
        <v>1.5883678681282809E-4</v>
      </c>
      <c r="L181" s="161">
        <v>-2.4687644271021684E-5</v>
      </c>
      <c r="M181" s="161">
        <v>-3.4606148048998677E-4</v>
      </c>
      <c r="N181" s="161">
        <v>1.1407900859113944E-4</v>
      </c>
      <c r="O181" s="161">
        <v>-1.550913315037546E-6</v>
      </c>
      <c r="P181" s="162"/>
      <c r="Q181" s="162"/>
      <c r="R181" s="162"/>
      <c r="S181" s="162"/>
      <c r="T181" s="162"/>
      <c r="U181" s="161"/>
    </row>
    <row r="182" spans="1:21">
      <c r="A182" s="19"/>
      <c r="B182" s="161">
        <v>5.7010005159084881E-4</v>
      </c>
      <c r="C182" s="161">
        <v>2.6726299912148891E-9</v>
      </c>
      <c r="D182" s="161">
        <v>5.8104553016156E-12</v>
      </c>
      <c r="E182" s="161">
        <v>-7.2867721752295106E-13</v>
      </c>
      <c r="F182" s="161">
        <v>5.7126430479423044E-15</v>
      </c>
      <c r="G182" s="161">
        <v>-3.7214785459468851E-9</v>
      </c>
      <c r="H182" s="161">
        <v>1.8044022733308796E-14</v>
      </c>
      <c r="I182" s="161">
        <v>-2.1119226323233663E-21</v>
      </c>
      <c r="J182" s="161">
        <v>-5.4885670626640836E-10</v>
      </c>
      <c r="K182" s="161">
        <v>-1.8769284886676117E-10</v>
      </c>
      <c r="L182" s="161">
        <v>-3.1772099528079944E-10</v>
      </c>
      <c r="M182" s="161">
        <v>7.860340085780117E-10</v>
      </c>
      <c r="N182" s="161">
        <v>-6.1849512621013192E-10</v>
      </c>
      <c r="O182" s="161">
        <v>4.1395949078820055E-12</v>
      </c>
      <c r="P182" s="162"/>
      <c r="Q182" s="162"/>
      <c r="R182" s="162"/>
      <c r="S182" s="162"/>
      <c r="T182" s="162"/>
      <c r="U182" s="161"/>
    </row>
    <row r="183" spans="1:21">
      <c r="A183" s="19"/>
      <c r="B183" s="161">
        <v>2.9109569151992363E-10</v>
      </c>
      <c r="C183" s="161">
        <v>-5.9924689728999642E-15</v>
      </c>
      <c r="D183" s="161">
        <v>9.0935142543968516E-18</v>
      </c>
      <c r="E183" s="161">
        <v>5.2618051137668998E-19</v>
      </c>
      <c r="F183" s="161">
        <v>-1.8129451360242326E-20</v>
      </c>
      <c r="G183" s="161">
        <v>-2.2486552701105672E-16</v>
      </c>
      <c r="H183" s="161">
        <v>-2.1119226323233663E-21</v>
      </c>
      <c r="I183" s="161">
        <v>1.839677382271704E-25</v>
      </c>
      <c r="J183" s="161">
        <v>9.5262616299610196E-16</v>
      </c>
      <c r="K183" s="161">
        <v>-4.8458339568256462E-16</v>
      </c>
      <c r="L183" s="161">
        <v>-1.7292034685148886E-15</v>
      </c>
      <c r="M183" s="161">
        <v>-5.0349539546843629E-16</v>
      </c>
      <c r="N183" s="161">
        <v>1.4417261014646091E-16</v>
      </c>
      <c r="O183" s="161">
        <v>4.6023202778825152E-17</v>
      </c>
      <c r="P183" s="162"/>
      <c r="Q183" s="162"/>
      <c r="R183" s="162"/>
      <c r="S183" s="162"/>
      <c r="T183" s="162"/>
      <c r="U183" s="161"/>
    </row>
    <row r="184" spans="1:21">
      <c r="A184" s="19"/>
      <c r="B184" s="161">
        <v>166.32645110377877</v>
      </c>
      <c r="C184" s="161">
        <v>-9.5800195874396973E-4</v>
      </c>
      <c r="D184" s="161">
        <v>-1.0501418774735773E-5</v>
      </c>
      <c r="E184" s="161">
        <v>-5.7068938349530656E-7</v>
      </c>
      <c r="F184" s="161">
        <v>7.4435659218293527E-9</v>
      </c>
      <c r="G184" s="161">
        <v>2.445787207745174E-4</v>
      </c>
      <c r="H184" s="161">
        <v>-5.4885670626640836E-10</v>
      </c>
      <c r="I184" s="161">
        <v>9.5262616299610196E-16</v>
      </c>
      <c r="J184" s="161">
        <v>3.3271800246935908E-3</v>
      </c>
      <c r="K184" s="161">
        <v>1.0600804280544195E-3</v>
      </c>
      <c r="L184" s="161">
        <v>9.7414514899608505E-4</v>
      </c>
      <c r="M184" s="161">
        <v>-3.2056503553199089E-3</v>
      </c>
      <c r="N184" s="161">
        <v>-3.2795638663179714E-3</v>
      </c>
      <c r="O184" s="161">
        <v>7.825655807711172E-7</v>
      </c>
      <c r="P184" s="162"/>
      <c r="Q184" s="162"/>
      <c r="R184" s="162"/>
      <c r="S184" s="162"/>
      <c r="T184" s="162"/>
      <c r="U184" s="161"/>
    </row>
    <row r="185" spans="1:21">
      <c r="A185" s="19"/>
      <c r="B185" s="161">
        <v>-47.570359681513132</v>
      </c>
      <c r="C185" s="161">
        <v>-1.018707049693096E-3</v>
      </c>
      <c r="D185" s="161">
        <v>-9.2193087421270976E-7</v>
      </c>
      <c r="E185" s="161">
        <v>-1.7777086780142843E-7</v>
      </c>
      <c r="F185" s="161">
        <v>2.3166893769931773E-9</v>
      </c>
      <c r="G185" s="161">
        <v>1.5883678681282809E-4</v>
      </c>
      <c r="H185" s="161">
        <v>-1.8769284886676117E-10</v>
      </c>
      <c r="I185" s="161">
        <v>-4.8458339568256462E-16</v>
      </c>
      <c r="J185" s="161">
        <v>1.0600804280544195E-3</v>
      </c>
      <c r="K185" s="161">
        <v>7.0285045875378505E-3</v>
      </c>
      <c r="L185" s="161">
        <v>1.0074662752354181E-3</v>
      </c>
      <c r="M185" s="161">
        <v>-7.0150782436195691E-3</v>
      </c>
      <c r="N185" s="161">
        <v>-1.0376687522885735E-3</v>
      </c>
      <c r="O185" s="161">
        <v>-1.4859753535711133E-6</v>
      </c>
      <c r="P185" s="162"/>
      <c r="Q185" s="162"/>
      <c r="R185" s="162"/>
      <c r="S185" s="162"/>
      <c r="T185" s="162"/>
      <c r="U185" s="161"/>
    </row>
    <row r="186" spans="1:21">
      <c r="A186" s="19"/>
      <c r="B186" s="161">
        <v>43.709213620755136</v>
      </c>
      <c r="C186" s="161">
        <v>-1.0863032962853552E-3</v>
      </c>
      <c r="D186" s="161">
        <v>-1.9758961937699047E-6</v>
      </c>
      <c r="E186" s="161">
        <v>3.0976276044084581E-7</v>
      </c>
      <c r="F186" s="161">
        <v>-2.0488705718277379E-9</v>
      </c>
      <c r="G186" s="161">
        <v>-2.4687644271021684E-5</v>
      </c>
      <c r="H186" s="161">
        <v>-3.1772099528079944E-10</v>
      </c>
      <c r="I186" s="161">
        <v>-1.7292034685148886E-15</v>
      </c>
      <c r="J186" s="161">
        <v>9.7414514899608505E-4</v>
      </c>
      <c r="K186" s="161">
        <v>1.0074662752354181E-3</v>
      </c>
      <c r="L186" s="161">
        <v>4.9085505615023839E-3</v>
      </c>
      <c r="M186" s="161">
        <v>-1.0523590081369058E-3</v>
      </c>
      <c r="N186" s="161">
        <v>-4.8142362787946969E-3</v>
      </c>
      <c r="O186" s="161">
        <v>4.5354269334553505E-6</v>
      </c>
      <c r="P186" s="162"/>
      <c r="Q186" s="162"/>
      <c r="R186" s="162"/>
      <c r="S186" s="162"/>
      <c r="T186" s="162"/>
      <c r="U186" s="161"/>
    </row>
    <row r="187" spans="1:21">
      <c r="A187" s="19"/>
      <c r="B187" s="161">
        <v>-81.390485774732809</v>
      </c>
      <c r="C187" s="161">
        <v>1.4121354718877393E-3</v>
      </c>
      <c r="D187" s="161">
        <v>-7.6332598969879297E-8</v>
      </c>
      <c r="E187" s="161">
        <v>-4.6372364496199963E-7</v>
      </c>
      <c r="F187" s="161">
        <v>1.4173344967309066E-8</v>
      </c>
      <c r="G187" s="161">
        <v>-3.4606148048998677E-4</v>
      </c>
      <c r="H187" s="161">
        <v>7.860340085780117E-10</v>
      </c>
      <c r="I187" s="161">
        <v>-5.0349539546843629E-16</v>
      </c>
      <c r="J187" s="161">
        <v>-3.2056503553199089E-3</v>
      </c>
      <c r="K187" s="161">
        <v>-7.0150782436195691E-3</v>
      </c>
      <c r="L187" s="161">
        <v>-1.0523590081369058E-3</v>
      </c>
      <c r="M187" s="161">
        <v>1.2848227102645195E-2</v>
      </c>
      <c r="N187" s="161">
        <v>3.1623684270469885E-3</v>
      </c>
      <c r="O187" s="161">
        <v>-7.5060117945252756E-6</v>
      </c>
      <c r="P187" s="162"/>
      <c r="Q187" s="162"/>
      <c r="R187" s="162"/>
      <c r="S187" s="162"/>
      <c r="T187" s="162"/>
      <c r="U187" s="161"/>
    </row>
    <row r="188" spans="1:21" s="164" customFormat="1">
      <c r="A188" s="19"/>
      <c r="B188" s="161">
        <v>-195.19746581942417</v>
      </c>
      <c r="C188" s="161">
        <v>7.08129449558561E-4</v>
      </c>
      <c r="D188" s="161">
        <v>1.4316946005043608E-5</v>
      </c>
      <c r="E188" s="161">
        <v>5.7186023568315615E-7</v>
      </c>
      <c r="F188" s="161">
        <v>-7.4745269443631575E-9</v>
      </c>
      <c r="G188" s="161">
        <v>1.1407900859113944E-4</v>
      </c>
      <c r="H188" s="161">
        <v>-6.1849512621013192E-10</v>
      </c>
      <c r="I188" s="161">
        <v>1.4417261014646091E-16</v>
      </c>
      <c r="J188" s="161">
        <v>-3.2795638663179714E-3</v>
      </c>
      <c r="K188" s="161">
        <v>-1.0376687522885735E-3</v>
      </c>
      <c r="L188" s="161">
        <v>-4.8142362787946969E-3</v>
      </c>
      <c r="M188" s="161">
        <v>3.1623684270469885E-3</v>
      </c>
      <c r="N188" s="161">
        <v>9.2252629356993285E-3</v>
      </c>
      <c r="O188" s="161">
        <v>-7.3023957188570022E-6</v>
      </c>
      <c r="P188" s="17"/>
      <c r="Q188" s="17"/>
      <c r="R188" s="17"/>
      <c r="S188" s="17"/>
      <c r="T188" s="17"/>
      <c r="U188" s="19"/>
    </row>
    <row r="189" spans="1:21">
      <c r="A189" s="19"/>
      <c r="B189" s="161">
        <v>-2.1050138490104073</v>
      </c>
      <c r="C189" s="161">
        <v>2.0742436933171338E-6</v>
      </c>
      <c r="D189" s="161">
        <v>-1.6642107273539532E-6</v>
      </c>
      <c r="E189" s="161">
        <v>7.2524673475602658E-10</v>
      </c>
      <c r="F189" s="161">
        <v>5.2803563412272022E-11</v>
      </c>
      <c r="G189" s="161">
        <v>-1.550913315037546E-6</v>
      </c>
      <c r="H189" s="161">
        <v>4.1395949078820055E-12</v>
      </c>
      <c r="I189" s="161">
        <v>4.6023202778825152E-17</v>
      </c>
      <c r="J189" s="161">
        <v>7.825655807711172E-7</v>
      </c>
      <c r="K189" s="161">
        <v>-1.4859753535711133E-6</v>
      </c>
      <c r="L189" s="161">
        <v>4.5354269334553505E-6</v>
      </c>
      <c r="M189" s="161">
        <v>-7.5060117945252756E-6</v>
      </c>
      <c r="N189" s="161">
        <v>-7.3023957188570022E-6</v>
      </c>
      <c r="O189" s="161">
        <v>3.2673818903845907E-6</v>
      </c>
      <c r="P189" s="162"/>
      <c r="Q189" s="162"/>
      <c r="R189" s="162"/>
      <c r="S189" s="162"/>
      <c r="T189" s="162"/>
      <c r="U189" s="161"/>
    </row>
    <row r="190" spans="1:21">
      <c r="A190" s="19"/>
      <c r="B190" s="161"/>
      <c r="C190" s="161"/>
      <c r="D190" s="161"/>
      <c r="E190" s="161"/>
      <c r="F190" s="161"/>
      <c r="G190" s="161"/>
      <c r="H190" s="161"/>
      <c r="I190" s="161"/>
      <c r="J190" s="161"/>
      <c r="K190" s="161"/>
      <c r="L190" s="161"/>
      <c r="M190" s="161"/>
      <c r="N190" s="161"/>
      <c r="O190" s="161"/>
      <c r="P190" s="162"/>
      <c r="Q190" s="162"/>
      <c r="R190" s="162"/>
      <c r="S190" s="162"/>
      <c r="T190" s="162"/>
      <c r="U190" s="161"/>
    </row>
    <row r="191" spans="1:21">
      <c r="A191" s="19" t="s">
        <v>111</v>
      </c>
      <c r="B191" s="161" t="s">
        <v>97</v>
      </c>
      <c r="C191" s="147">
        <f t="shared" ref="C191:O191" si="11">IF(C192="B0",$E$2,
IF(C192="agec",$F$2,
IF(C192="agec2",$G$2,
IF(C192="agec3",$H$2,
IF(C192="sexq",$I$2,
IF(C192="tivc",$J$2,
IF(C192="tivc2",$K$2,
IF(C192="tivc3",$L$2,
IF(C192="MFSq",$M$2,
IF(C192="GE",$N$2,
IF(C192="Philips",$O$2,
IF(C192="GE_X_MFSq",$P$2,
IF(C192="Philips_X_MFSq",$Q$2,
IF(C192="tivc_X_MFSq",$R$2,
IF(C192="agec_X_sexq",$S$2,
IF(C192="tivc_X_GE",$T$2,
IF(C192="tivc_X_Philips",$U$2, "Error"
)))))))))))))))))</f>
        <v>1</v>
      </c>
      <c r="D191" s="147">
        <f t="shared" si="11"/>
        <v>-47.563461699999998</v>
      </c>
      <c r="E191" s="147">
        <f t="shared" si="11"/>
        <v>2262.2828888873669</v>
      </c>
      <c r="F191" s="147">
        <f t="shared" si="11"/>
        <v>-107602.00554015962</v>
      </c>
      <c r="G191" s="147">
        <f t="shared" si="11"/>
        <v>0</v>
      </c>
      <c r="H191" s="147">
        <f t="shared" si="11"/>
        <v>-1521907.28</v>
      </c>
      <c r="I191" s="147">
        <f t="shared" si="11"/>
        <v>2316201768916.9985</v>
      </c>
      <c r="J191" s="147">
        <f t="shared" si="11"/>
        <v>0</v>
      </c>
      <c r="K191" s="147">
        <f t="shared" si="11"/>
        <v>0</v>
      </c>
      <c r="L191" s="147">
        <f t="shared" si="11"/>
        <v>0</v>
      </c>
      <c r="M191" s="147">
        <f t="shared" si="11"/>
        <v>0</v>
      </c>
      <c r="N191" s="147">
        <f t="shared" si="11"/>
        <v>0</v>
      </c>
      <c r="O191" s="147">
        <f t="shared" si="11"/>
        <v>0</v>
      </c>
      <c r="P191" s="162"/>
      <c r="Q191" s="162"/>
      <c r="R191" s="162"/>
      <c r="S191" s="162"/>
      <c r="T191" s="162"/>
      <c r="U191" s="161"/>
    </row>
    <row r="192" spans="1:21">
      <c r="A192" s="19"/>
      <c r="B192" s="161" t="s">
        <v>98</v>
      </c>
      <c r="C192" s="161" t="s">
        <v>42</v>
      </c>
      <c r="D192" s="161" t="s">
        <v>43</v>
      </c>
      <c r="E192" s="161" t="s">
        <v>57</v>
      </c>
      <c r="F192" s="161" t="s">
        <v>66</v>
      </c>
      <c r="G192" s="161" t="s">
        <v>69</v>
      </c>
      <c r="H192" s="161" t="s">
        <v>44</v>
      </c>
      <c r="I192" s="161" t="s">
        <v>45</v>
      </c>
      <c r="J192" s="161" t="s">
        <v>92</v>
      </c>
      <c r="K192" s="161" t="s">
        <v>1</v>
      </c>
      <c r="L192" s="161" t="s">
        <v>2</v>
      </c>
      <c r="M192" s="161" t="s">
        <v>93</v>
      </c>
      <c r="N192" s="161" t="s">
        <v>94</v>
      </c>
      <c r="O192" s="161" t="s">
        <v>95</v>
      </c>
      <c r="P192" s="162"/>
      <c r="Q192" s="162"/>
      <c r="R192" s="162"/>
      <c r="S192" s="162"/>
      <c r="T192" s="162"/>
      <c r="U192" s="161"/>
    </row>
    <row r="193" spans="1:21">
      <c r="A193" s="19"/>
      <c r="B193" s="161">
        <v>1438.4955464298257</v>
      </c>
      <c r="C193" s="161">
        <v>2.8300737088168383E-3</v>
      </c>
      <c r="D193" s="161">
        <v>-2.4091231561844701E-5</v>
      </c>
      <c r="E193" s="161">
        <v>-2.154571764072416E-6</v>
      </c>
      <c r="F193" s="161">
        <v>4.1910248713897979E-8</v>
      </c>
      <c r="G193" s="161">
        <v>-1.3143065326214295E-3</v>
      </c>
      <c r="H193" s="161">
        <v>2.6905363648923995E-9</v>
      </c>
      <c r="I193" s="161">
        <v>-6.071907867065051E-15</v>
      </c>
      <c r="J193" s="161">
        <v>-9.5923914307506576E-4</v>
      </c>
      <c r="K193" s="161">
        <v>-1.0117910115945584E-3</v>
      </c>
      <c r="L193" s="161">
        <v>-1.0900103051326388E-3</v>
      </c>
      <c r="M193" s="161">
        <v>1.4062828519050021E-3</v>
      </c>
      <c r="N193" s="161">
        <v>7.1404712562984712E-4</v>
      </c>
      <c r="O193" s="161">
        <v>1.8943339057579864E-6</v>
      </c>
      <c r="P193" s="162"/>
      <c r="Q193" s="162"/>
      <c r="R193" s="162"/>
      <c r="S193" s="162"/>
      <c r="T193" s="162"/>
      <c r="U193" s="161"/>
    </row>
    <row r="194" spans="1:21">
      <c r="A194" s="19"/>
      <c r="B194" s="161">
        <v>-2.5895709581457704</v>
      </c>
      <c r="C194" s="161">
        <v>-2.4091231561844701E-5</v>
      </c>
      <c r="D194" s="161">
        <v>6.3786754236501434E-6</v>
      </c>
      <c r="E194" s="161">
        <v>7.1082640773944797E-8</v>
      </c>
      <c r="F194" s="161">
        <v>-6.8114949400540162E-9</v>
      </c>
      <c r="G194" s="161">
        <v>5.4809448654248674E-6</v>
      </c>
      <c r="H194" s="161">
        <v>6.6930407993600053E-12</v>
      </c>
      <c r="I194" s="161">
        <v>5.8687559056800344E-18</v>
      </c>
      <c r="J194" s="161">
        <v>-1.0684569260943739E-5</v>
      </c>
      <c r="K194" s="161">
        <v>-9.61524238185704E-7</v>
      </c>
      <c r="L194" s="161">
        <v>-2.4948354865968177E-6</v>
      </c>
      <c r="M194" s="161">
        <v>1.7245865328508872E-7</v>
      </c>
      <c r="N194" s="161">
        <v>1.492573609389759E-5</v>
      </c>
      <c r="O194" s="161">
        <v>-1.6711891808945984E-6</v>
      </c>
      <c r="P194" s="162"/>
      <c r="Q194" s="162"/>
      <c r="R194" s="162"/>
      <c r="S194" s="162"/>
      <c r="T194" s="162"/>
      <c r="U194" s="161"/>
    </row>
    <row r="195" spans="1:21">
      <c r="A195" s="19"/>
      <c r="B195" s="161">
        <v>7.3363002289251633E-2</v>
      </c>
      <c r="C195" s="161">
        <v>-2.154571764072416E-6</v>
      </c>
      <c r="D195" s="161">
        <v>7.1082640773944797E-8</v>
      </c>
      <c r="E195" s="161">
        <v>5.1403457760048555E-9</v>
      </c>
      <c r="F195" s="161">
        <v>-1.2032752503089739E-10</v>
      </c>
      <c r="G195" s="161">
        <v>1.2306630616801457E-7</v>
      </c>
      <c r="H195" s="161">
        <v>-7.1125026828833666E-13</v>
      </c>
      <c r="I195" s="161">
        <v>4.4726168757909134E-19</v>
      </c>
      <c r="J195" s="161">
        <v>-5.7131630062426623E-7</v>
      </c>
      <c r="K195" s="161">
        <v>-1.8862827562212321E-7</v>
      </c>
      <c r="L195" s="161">
        <v>2.9629180712198053E-7</v>
      </c>
      <c r="M195" s="161">
        <v>-4.4476348625378284E-7</v>
      </c>
      <c r="N195" s="161">
        <v>5.831350245164098E-7</v>
      </c>
      <c r="O195" s="161">
        <v>8.5184232927712569E-10</v>
      </c>
      <c r="P195" s="162"/>
      <c r="Q195" s="162"/>
      <c r="R195" s="162"/>
      <c r="S195" s="162"/>
      <c r="T195" s="162"/>
      <c r="U195" s="161"/>
    </row>
    <row r="196" spans="1:21">
      <c r="A196" s="19"/>
      <c r="B196" s="161">
        <v>-3.0294803663815312E-3</v>
      </c>
      <c r="C196" s="161">
        <v>4.1910248713897979E-8</v>
      </c>
      <c r="D196" s="161">
        <v>-6.8114949400540162E-9</v>
      </c>
      <c r="E196" s="161">
        <v>-1.2032752503089739E-10</v>
      </c>
      <c r="F196" s="161">
        <v>9.8851700576225594E-12</v>
      </c>
      <c r="G196" s="161">
        <v>-6.9347627934032795E-9</v>
      </c>
      <c r="H196" s="161">
        <v>5.1486927676997155E-15</v>
      </c>
      <c r="I196" s="161">
        <v>-1.5363002042244492E-20</v>
      </c>
      <c r="J196" s="161">
        <v>7.3537432728775469E-9</v>
      </c>
      <c r="K196" s="161">
        <v>1.8570652994667494E-9</v>
      </c>
      <c r="L196" s="161">
        <v>-1.5832172922600594E-9</v>
      </c>
      <c r="M196" s="161">
        <v>1.4101000735396425E-8</v>
      </c>
      <c r="N196" s="161">
        <v>-7.8844551579147668E-9</v>
      </c>
      <c r="O196" s="161">
        <v>5.0229216510201568E-11</v>
      </c>
      <c r="P196" s="162"/>
      <c r="Q196" s="162"/>
      <c r="R196" s="162"/>
      <c r="S196" s="162"/>
      <c r="T196" s="162"/>
      <c r="U196" s="161"/>
    </row>
    <row r="197" spans="1:21">
      <c r="A197" s="19"/>
      <c r="B197" s="161">
        <v>65.248172454515384</v>
      </c>
      <c r="C197" s="161">
        <v>-1.3143065326214295E-3</v>
      </c>
      <c r="D197" s="161">
        <v>5.4809448654248674E-6</v>
      </c>
      <c r="E197" s="161">
        <v>1.2306630616801457E-7</v>
      </c>
      <c r="F197" s="161">
        <v>-6.9347627934032795E-9</v>
      </c>
      <c r="G197" s="161">
        <v>2.3144328085839259E-3</v>
      </c>
      <c r="H197" s="161">
        <v>-3.7367630289142277E-9</v>
      </c>
      <c r="I197" s="161">
        <v>-1.8727000509467404E-16</v>
      </c>
      <c r="J197" s="161">
        <v>2.4686064956201773E-4</v>
      </c>
      <c r="K197" s="161">
        <v>1.6227428565457181E-4</v>
      </c>
      <c r="L197" s="161">
        <v>-1.5229614345622484E-5</v>
      </c>
      <c r="M197" s="161">
        <v>-3.5404497491028079E-4</v>
      </c>
      <c r="N197" s="161">
        <v>1.0540706239131166E-4</v>
      </c>
      <c r="O197" s="161">
        <v>-1.560373226292439E-6</v>
      </c>
      <c r="P197" s="161"/>
      <c r="Q197" s="161"/>
      <c r="R197" s="161"/>
      <c r="S197" s="161"/>
      <c r="T197" s="161"/>
      <c r="U197" s="161"/>
    </row>
    <row r="198" spans="1:21">
      <c r="A198" s="19"/>
      <c r="B198" s="161">
        <v>4.7711360241197532E-4</v>
      </c>
      <c r="C198" s="161">
        <v>2.6905363648923995E-9</v>
      </c>
      <c r="D198" s="161">
        <v>6.6930407993600053E-12</v>
      </c>
      <c r="E198" s="161">
        <v>-7.1125026828833666E-13</v>
      </c>
      <c r="F198" s="161">
        <v>5.1486927676997155E-15</v>
      </c>
      <c r="G198" s="161">
        <v>-3.7367630289142277E-9</v>
      </c>
      <c r="H198" s="161">
        <v>1.8128714676005043E-14</v>
      </c>
      <c r="I198" s="161">
        <v>-2.4722160283663491E-21</v>
      </c>
      <c r="J198" s="161">
        <v>-5.6229107073889236E-10</v>
      </c>
      <c r="K198" s="161">
        <v>-1.7528400225636445E-10</v>
      </c>
      <c r="L198" s="161">
        <v>-3.6593311293353545E-10</v>
      </c>
      <c r="M198" s="161">
        <v>7.6739714561132148E-10</v>
      </c>
      <c r="N198" s="161">
        <v>-5.6425293074476676E-10</v>
      </c>
      <c r="O198" s="161">
        <v>3.6577947541817625E-12</v>
      </c>
      <c r="P198" s="161"/>
      <c r="Q198" s="161"/>
      <c r="R198" s="161"/>
      <c r="S198" s="161"/>
      <c r="T198" s="161"/>
      <c r="U198" s="161"/>
    </row>
    <row r="199" spans="1:21">
      <c r="A199" s="19"/>
      <c r="B199" s="161">
        <v>2.1813327558330374E-10</v>
      </c>
      <c r="C199" s="161">
        <v>-6.071907867065051E-15</v>
      </c>
      <c r="D199" s="161">
        <v>5.8687559056800344E-18</v>
      </c>
      <c r="E199" s="161">
        <v>4.4726168757909134E-19</v>
      </c>
      <c r="F199" s="161">
        <v>-1.5363002042244492E-20</v>
      </c>
      <c r="G199" s="161">
        <v>-1.8727000509467404E-16</v>
      </c>
      <c r="H199" s="161">
        <v>-2.4722160283663491E-21</v>
      </c>
      <c r="I199" s="161">
        <v>1.8641679620275609E-25</v>
      </c>
      <c r="J199" s="161">
        <v>9.8797262832332415E-16</v>
      </c>
      <c r="K199" s="161">
        <v>-5.2136733315943241E-16</v>
      </c>
      <c r="L199" s="161">
        <v>-1.5651012875354771E-15</v>
      </c>
      <c r="M199" s="161">
        <v>-5.0876912183750844E-16</v>
      </c>
      <c r="N199" s="161">
        <v>-3.6708391782374716E-17</v>
      </c>
      <c r="O199" s="161">
        <v>4.8163363920367474E-17</v>
      </c>
      <c r="P199" s="161"/>
      <c r="Q199" s="161"/>
      <c r="R199" s="161"/>
      <c r="S199" s="161"/>
      <c r="T199" s="161"/>
      <c r="U199" s="161"/>
    </row>
    <row r="200" spans="1:21">
      <c r="A200" s="19"/>
      <c r="B200" s="161">
        <v>155.29150568943123</v>
      </c>
      <c r="C200" s="161">
        <v>-9.5923914307506576E-4</v>
      </c>
      <c r="D200" s="161">
        <v>-1.0684569260943739E-5</v>
      </c>
      <c r="E200" s="161">
        <v>-5.7131630062426623E-7</v>
      </c>
      <c r="F200" s="161">
        <v>7.3537432728775469E-9</v>
      </c>
      <c r="G200" s="161">
        <v>2.4686064956201773E-4</v>
      </c>
      <c r="H200" s="161">
        <v>-5.6229107073889236E-10</v>
      </c>
      <c r="I200" s="161">
        <v>9.8797262832332415E-16</v>
      </c>
      <c r="J200" s="161">
        <v>3.332989722966812E-3</v>
      </c>
      <c r="K200" s="161">
        <v>1.0617927015415358E-3</v>
      </c>
      <c r="L200" s="161">
        <v>9.7728649727248963E-4</v>
      </c>
      <c r="M200" s="161">
        <v>-3.2130426522636499E-3</v>
      </c>
      <c r="N200" s="161">
        <v>-3.2889408785847481E-3</v>
      </c>
      <c r="O200" s="161">
        <v>9.7519560990010851E-7</v>
      </c>
      <c r="P200" s="161"/>
      <c r="Q200" s="161"/>
      <c r="R200" s="161"/>
      <c r="S200" s="161"/>
      <c r="T200" s="161"/>
      <c r="U200" s="161"/>
    </row>
    <row r="201" spans="1:21">
      <c r="A201" s="19"/>
      <c r="B201" s="161">
        <v>-3.8700661727373316</v>
      </c>
      <c r="C201" s="161">
        <v>-1.0117910115945584E-3</v>
      </c>
      <c r="D201" s="161">
        <v>-9.61524238185704E-7</v>
      </c>
      <c r="E201" s="161">
        <v>-1.8862827562212321E-7</v>
      </c>
      <c r="F201" s="161">
        <v>1.8570652994667494E-9</v>
      </c>
      <c r="G201" s="161">
        <v>1.6227428565457181E-4</v>
      </c>
      <c r="H201" s="161">
        <v>-1.7528400225636445E-10</v>
      </c>
      <c r="I201" s="161">
        <v>-5.2136733315943241E-16</v>
      </c>
      <c r="J201" s="161">
        <v>1.0617927015415358E-3</v>
      </c>
      <c r="K201" s="161">
        <v>6.9928499985661072E-3</v>
      </c>
      <c r="L201" s="161">
        <v>1.0052368535700589E-3</v>
      </c>
      <c r="M201" s="161">
        <v>-6.9806208807710888E-3</v>
      </c>
      <c r="N201" s="161">
        <v>-1.0411443727472724E-3</v>
      </c>
      <c r="O201" s="161">
        <v>-1.133566965784294E-6</v>
      </c>
      <c r="P201" s="161"/>
      <c r="Q201" s="161"/>
      <c r="R201" s="161"/>
      <c r="S201" s="161"/>
      <c r="T201" s="161"/>
      <c r="U201" s="161"/>
    </row>
    <row r="202" spans="1:21">
      <c r="A202" s="19"/>
      <c r="B202" s="161">
        <v>-61.407877117873142</v>
      </c>
      <c r="C202" s="161">
        <v>-1.0900103051326388E-3</v>
      </c>
      <c r="D202" s="161">
        <v>-2.4948354865968177E-6</v>
      </c>
      <c r="E202" s="161">
        <v>2.9629180712198053E-7</v>
      </c>
      <c r="F202" s="161">
        <v>-1.5832172922600594E-9</v>
      </c>
      <c r="G202" s="161">
        <v>-1.5229614345622484E-5</v>
      </c>
      <c r="H202" s="161">
        <v>-3.6593311293353545E-10</v>
      </c>
      <c r="I202" s="161">
        <v>-1.5651012875354771E-15</v>
      </c>
      <c r="J202" s="161">
        <v>9.7728649727248963E-4</v>
      </c>
      <c r="K202" s="161">
        <v>1.0052368535700589E-3</v>
      </c>
      <c r="L202" s="161">
        <v>4.9335957201179512E-3</v>
      </c>
      <c r="M202" s="161">
        <v>-1.0506694172754847E-3</v>
      </c>
      <c r="N202" s="161">
        <v>-4.8423254078110173E-3</v>
      </c>
      <c r="O202" s="161">
        <v>4.7220451617410231E-6</v>
      </c>
      <c r="P202" s="161"/>
      <c r="Q202" s="161"/>
      <c r="R202" s="161"/>
      <c r="S202" s="161"/>
      <c r="T202" s="161"/>
      <c r="U202" s="161"/>
    </row>
    <row r="203" spans="1:21">
      <c r="A203" s="19"/>
      <c r="B203" s="161">
        <v>-128.78934347619287</v>
      </c>
      <c r="C203" s="161">
        <v>1.4062828519050021E-3</v>
      </c>
      <c r="D203" s="161">
        <v>1.7245865328508872E-7</v>
      </c>
      <c r="E203" s="161">
        <v>-4.4476348625378284E-7</v>
      </c>
      <c r="F203" s="161">
        <v>1.4101000735396425E-8</v>
      </c>
      <c r="G203" s="161">
        <v>-3.5404497491028079E-4</v>
      </c>
      <c r="H203" s="161">
        <v>7.6739714561132148E-10</v>
      </c>
      <c r="I203" s="161">
        <v>-5.0876912183750844E-16</v>
      </c>
      <c r="J203" s="161">
        <v>-3.2130426522636499E-3</v>
      </c>
      <c r="K203" s="161">
        <v>-6.9806208807710888E-3</v>
      </c>
      <c r="L203" s="161">
        <v>-1.0506694172754847E-3</v>
      </c>
      <c r="M203" s="161">
        <v>1.2880092678740931E-2</v>
      </c>
      <c r="N203" s="161">
        <v>3.1720949190772252E-3</v>
      </c>
      <c r="O203" s="161">
        <v>-7.9410797938147093E-6</v>
      </c>
      <c r="P203" s="161"/>
      <c r="Q203" s="161"/>
      <c r="R203" s="161"/>
      <c r="S203" s="161"/>
      <c r="T203" s="161"/>
      <c r="U203" s="161"/>
    </row>
    <row r="204" spans="1:21">
      <c r="A204" s="19"/>
      <c r="B204" s="161">
        <v>-133.37108416014968</v>
      </c>
      <c r="C204" s="161">
        <v>7.1404712562984712E-4</v>
      </c>
      <c r="D204" s="161">
        <v>1.492573609389759E-5</v>
      </c>
      <c r="E204" s="161">
        <v>5.831350245164098E-7</v>
      </c>
      <c r="F204" s="161">
        <v>-7.8844551579147668E-9</v>
      </c>
      <c r="G204" s="161">
        <v>1.0540706239131166E-4</v>
      </c>
      <c r="H204" s="161">
        <v>-5.6425293074476676E-10</v>
      </c>
      <c r="I204" s="161">
        <v>-3.6708391782374716E-17</v>
      </c>
      <c r="J204" s="161">
        <v>-3.2889408785847481E-3</v>
      </c>
      <c r="K204" s="161">
        <v>-1.0411443727472724E-3</v>
      </c>
      <c r="L204" s="161">
        <v>-4.8423254078110173E-3</v>
      </c>
      <c r="M204" s="161">
        <v>3.1720949190772252E-3</v>
      </c>
      <c r="N204" s="161">
        <v>9.2611909709281268E-3</v>
      </c>
      <c r="O204" s="161">
        <v>-7.5988149136771556E-6</v>
      </c>
      <c r="P204" s="162"/>
      <c r="Q204" s="161"/>
      <c r="R204" s="161"/>
      <c r="S204" s="161"/>
      <c r="T204" s="161"/>
      <c r="U204" s="161"/>
    </row>
    <row r="205" spans="1:21">
      <c r="A205" s="19"/>
      <c r="B205" s="161">
        <v>-1.4474616025507634</v>
      </c>
      <c r="C205" s="161">
        <v>1.8943339057579864E-6</v>
      </c>
      <c r="D205" s="161">
        <v>-1.6711891808945984E-6</v>
      </c>
      <c r="E205" s="161">
        <v>8.5184232927712569E-10</v>
      </c>
      <c r="F205" s="161">
        <v>5.0229216510201568E-11</v>
      </c>
      <c r="G205" s="161">
        <v>-1.560373226292439E-6</v>
      </c>
      <c r="H205" s="161">
        <v>3.6577947541817625E-12</v>
      </c>
      <c r="I205" s="161">
        <v>4.8163363920367474E-17</v>
      </c>
      <c r="J205" s="161">
        <v>9.7519560990010851E-7</v>
      </c>
      <c r="K205" s="161">
        <v>-1.133566965784294E-6</v>
      </c>
      <c r="L205" s="161">
        <v>4.7220451617410231E-6</v>
      </c>
      <c r="M205" s="161">
        <v>-7.9410797938147093E-6</v>
      </c>
      <c r="N205" s="161">
        <v>-7.5988149136771556E-6</v>
      </c>
      <c r="O205" s="161">
        <v>3.276313397063406E-6</v>
      </c>
      <c r="P205" s="161"/>
      <c r="Q205" s="161"/>
      <c r="R205" s="161"/>
      <c r="S205" s="161"/>
      <c r="T205" s="161"/>
      <c r="U205" s="161"/>
    </row>
    <row r="206" spans="1:21" s="164" customFormat="1">
      <c r="A206" s="19"/>
      <c r="B206" s="161"/>
      <c r="C206" s="161"/>
      <c r="D206" s="161"/>
      <c r="E206" s="161"/>
      <c r="F206" s="161"/>
      <c r="G206" s="161"/>
      <c r="H206" s="161"/>
      <c r="I206" s="161"/>
      <c r="J206" s="161"/>
      <c r="K206" s="161"/>
      <c r="L206" s="161"/>
      <c r="M206" s="161"/>
      <c r="N206" s="161"/>
      <c r="O206" s="161"/>
      <c r="P206" s="19"/>
      <c r="Q206" s="19"/>
      <c r="R206" s="19"/>
      <c r="S206" s="19"/>
      <c r="T206" s="19"/>
      <c r="U206" s="19"/>
    </row>
    <row r="207" spans="1:21">
      <c r="A207" s="19" t="s">
        <v>112</v>
      </c>
      <c r="B207" s="161" t="s">
        <v>97</v>
      </c>
      <c r="C207" s="147">
        <f t="shared" ref="C207:P207" si="12">IF(C208="B0",$E$2,
IF(C208="agec",$F$2,
IF(C208="agec2",$G$2,
IF(C208="agec3",$H$2,
IF(C208="sexq",$I$2,
IF(C208="tivc",$J$2,
IF(C208="tivc2",$K$2,
IF(C208="tivc3",$L$2,
IF(C208="MFSq",$M$2,
IF(C208="GE",$N$2,
IF(C208="Philips",$O$2,
IF(C208="GE_X_MFSq",$P$2,
IF(C208="Philips_X_MFSq",$Q$2,
IF(C208="tivc_X_MFSq",$R$2,
IF(C208="agec_X_sexq",$S$2,
IF(C208="tivc_X_GE",$T$2,
IF(C208="tivc_X_Philips",$U$2, "Error"
)))))))))))))))))</f>
        <v>1</v>
      </c>
      <c r="D207" s="147">
        <f t="shared" si="12"/>
        <v>-47.563461699999998</v>
      </c>
      <c r="E207" s="147">
        <f t="shared" si="12"/>
        <v>2262.2828888873669</v>
      </c>
      <c r="F207" s="147">
        <f t="shared" si="12"/>
        <v>0</v>
      </c>
      <c r="G207" s="147">
        <f t="shared" si="12"/>
        <v>-1521907.28</v>
      </c>
      <c r="H207" s="147">
        <f t="shared" si="12"/>
        <v>2316201768916.9985</v>
      </c>
      <c r="I207" s="147">
        <f t="shared" si="12"/>
        <v>-3.525044334063658E+18</v>
      </c>
      <c r="J207" s="147">
        <f t="shared" si="12"/>
        <v>0</v>
      </c>
      <c r="K207" s="147">
        <f t="shared" si="12"/>
        <v>0</v>
      </c>
      <c r="L207" s="147">
        <f t="shared" si="12"/>
        <v>0</v>
      </c>
      <c r="M207" s="147">
        <f t="shared" si="12"/>
        <v>0</v>
      </c>
      <c r="N207" s="147">
        <f t="shared" si="12"/>
        <v>0</v>
      </c>
      <c r="O207" s="147">
        <f t="shared" si="12"/>
        <v>0</v>
      </c>
      <c r="P207" s="147">
        <f t="shared" si="12"/>
        <v>0</v>
      </c>
      <c r="Q207" s="161"/>
      <c r="R207" s="161"/>
      <c r="S207" s="161"/>
      <c r="T207" s="161"/>
      <c r="U207" s="161"/>
    </row>
    <row r="208" spans="1:21">
      <c r="A208" s="19"/>
      <c r="B208" s="161" t="s">
        <v>98</v>
      </c>
      <c r="C208" s="161" t="s">
        <v>42</v>
      </c>
      <c r="D208" s="161" t="s">
        <v>43</v>
      </c>
      <c r="E208" s="161" t="s">
        <v>57</v>
      </c>
      <c r="F208" s="161" t="s">
        <v>69</v>
      </c>
      <c r="G208" s="161" t="s">
        <v>44</v>
      </c>
      <c r="H208" s="161" t="s">
        <v>45</v>
      </c>
      <c r="I208" s="161" t="s">
        <v>68</v>
      </c>
      <c r="J208" s="161" t="s">
        <v>92</v>
      </c>
      <c r="K208" s="161" t="s">
        <v>1</v>
      </c>
      <c r="L208" s="161" t="s">
        <v>2</v>
      </c>
      <c r="M208" s="161" t="s">
        <v>93</v>
      </c>
      <c r="N208" s="161" t="s">
        <v>94</v>
      </c>
      <c r="O208" s="161" t="s">
        <v>107</v>
      </c>
      <c r="P208" s="161" t="s">
        <v>95</v>
      </c>
      <c r="Q208" s="161"/>
      <c r="R208" s="161"/>
      <c r="S208" s="161"/>
      <c r="T208" s="161"/>
      <c r="U208" s="161"/>
    </row>
    <row r="209" spans="1:21">
      <c r="A209" s="19"/>
      <c r="B209" s="161">
        <v>5155.5809800179522</v>
      </c>
      <c r="C209" s="161">
        <v>2.6744616298587471E-3</v>
      </c>
      <c r="D209" s="161">
        <v>5.1521282426091572E-6</v>
      </c>
      <c r="E209" s="161">
        <v>-1.6460445539671942E-6</v>
      </c>
      <c r="F209" s="161">
        <v>-1.3179472036956475E-3</v>
      </c>
      <c r="G209" s="161">
        <v>3.1929410228384454E-9</v>
      </c>
      <c r="H209" s="161">
        <v>-6.1272886258022073E-15</v>
      </c>
      <c r="I209" s="161">
        <v>-6.3162664724294437E-21</v>
      </c>
      <c r="J209" s="161">
        <v>-9.8641770897222301E-4</v>
      </c>
      <c r="K209" s="161">
        <v>-1.0098158566701559E-3</v>
      </c>
      <c r="L209" s="161">
        <v>-1.1005772133603198E-3</v>
      </c>
      <c r="M209" s="161">
        <v>1.3384907588022976E-3</v>
      </c>
      <c r="N209" s="161">
        <v>7.5238546474115783E-4</v>
      </c>
      <c r="O209" s="161">
        <v>3.3396775612324868E-10</v>
      </c>
      <c r="P209" s="161">
        <v>9.2620149511504046E-7</v>
      </c>
      <c r="Q209" s="161"/>
      <c r="R209" s="161"/>
      <c r="S209" s="161"/>
      <c r="T209" s="161"/>
      <c r="U209" s="161"/>
    </row>
    <row r="210" spans="1:21">
      <c r="A210" s="19"/>
      <c r="B210" s="161">
        <v>-23.819559970309435</v>
      </c>
      <c r="C210" s="161">
        <v>5.1521282426091572E-6</v>
      </c>
      <c r="D210" s="161">
        <v>1.6860084814932097E-6</v>
      </c>
      <c r="E210" s="161">
        <v>-1.1913715928898417E-8</v>
      </c>
      <c r="F210" s="161">
        <v>1.4471314674798902E-7</v>
      </c>
      <c r="G210" s="161">
        <v>2.0688446368312165E-11</v>
      </c>
      <c r="H210" s="161">
        <v>-6.5432905167380573E-18</v>
      </c>
      <c r="I210" s="161">
        <v>-1.0403225015640788E-22</v>
      </c>
      <c r="J210" s="161">
        <v>-5.327493731803673E-6</v>
      </c>
      <c r="K210" s="161">
        <v>5.5430225655604162E-7</v>
      </c>
      <c r="L210" s="161">
        <v>-3.983207114780598E-6</v>
      </c>
      <c r="M210" s="161">
        <v>9.4608510523961863E-6</v>
      </c>
      <c r="N210" s="161">
        <v>9.5953836983672468E-6</v>
      </c>
      <c r="O210" s="161">
        <v>1.7200065287270041E-12</v>
      </c>
      <c r="P210" s="161">
        <v>-1.6428585380810758E-6</v>
      </c>
      <c r="Q210" s="161"/>
      <c r="R210" s="161"/>
      <c r="S210" s="161"/>
      <c r="T210" s="161"/>
      <c r="U210" s="161"/>
    </row>
    <row r="211" spans="1:21">
      <c r="A211" s="19"/>
      <c r="B211" s="161">
        <v>0.22289108478054928</v>
      </c>
      <c r="C211" s="161">
        <v>-1.6460445539671942E-6</v>
      </c>
      <c r="D211" s="161">
        <v>-1.1913715928898417E-8</v>
      </c>
      <c r="E211" s="161">
        <v>3.6696886544120027E-9</v>
      </c>
      <c r="F211" s="161">
        <v>4.4329129946296703E-8</v>
      </c>
      <c r="G211" s="161">
        <v>-8.6328040937344557E-13</v>
      </c>
      <c r="H211" s="161">
        <v>1.094181766238447E-19</v>
      </c>
      <c r="I211" s="161">
        <v>1.2479097974932682E-24</v>
      </c>
      <c r="J211" s="161">
        <v>-4.7742004705021281E-7</v>
      </c>
      <c r="K211" s="161">
        <v>-1.6403694664101933E-7</v>
      </c>
      <c r="L211" s="161">
        <v>2.8956593926717553E-7</v>
      </c>
      <c r="M211" s="161">
        <v>-2.6905440846645977E-7</v>
      </c>
      <c r="N211" s="161">
        <v>4.6712028282837337E-7</v>
      </c>
      <c r="O211" s="161">
        <v>2.3378029099799874E-13</v>
      </c>
      <c r="P211" s="161">
        <v>1.5403849339767521E-9</v>
      </c>
      <c r="Q211" s="161"/>
      <c r="R211" s="161"/>
      <c r="S211" s="161"/>
      <c r="T211" s="161"/>
      <c r="U211" s="161"/>
    </row>
    <row r="212" spans="1:21">
      <c r="A212" s="19"/>
      <c r="B212" s="161">
        <v>207.04581278491142</v>
      </c>
      <c r="C212" s="161">
        <v>-1.3179472036956475E-3</v>
      </c>
      <c r="D212" s="161">
        <v>1.4471314674798902E-7</v>
      </c>
      <c r="E212" s="161">
        <v>4.4329129946296703E-8</v>
      </c>
      <c r="F212" s="161">
        <v>2.3627172298320317E-3</v>
      </c>
      <c r="G212" s="161">
        <v>-4.6359136253854632E-9</v>
      </c>
      <c r="H212" s="161">
        <v>-9.5909289575238641E-17</v>
      </c>
      <c r="I212" s="161">
        <v>1.0647188702341609E-20</v>
      </c>
      <c r="J212" s="161">
        <v>2.437262419367918E-4</v>
      </c>
      <c r="K212" s="161">
        <v>1.4551190876111554E-4</v>
      </c>
      <c r="L212" s="161">
        <v>7.5212270329075417E-7</v>
      </c>
      <c r="M212" s="161">
        <v>-3.384285092657731E-4</v>
      </c>
      <c r="N212" s="161">
        <v>1.006258062160678E-4</v>
      </c>
      <c r="O212" s="161">
        <v>-4.7002171084597453E-10</v>
      </c>
      <c r="P212" s="161">
        <v>-3.3424445403879063E-7</v>
      </c>
      <c r="Q212" s="161"/>
      <c r="R212" s="161"/>
      <c r="S212" s="161"/>
      <c r="T212" s="161"/>
      <c r="U212" s="161"/>
    </row>
    <row r="213" spans="1:21">
      <c r="A213" s="19"/>
      <c r="B213" s="161">
        <v>1.7349750953561149E-3</v>
      </c>
      <c r="C213" s="161">
        <v>3.1929410228384454E-9</v>
      </c>
      <c r="D213" s="161">
        <v>2.0688446368312165E-11</v>
      </c>
      <c r="E213" s="161">
        <v>-8.6328040937344557E-13</v>
      </c>
      <c r="F213" s="161">
        <v>-4.6359136253854632E-9</v>
      </c>
      <c r="G213" s="161">
        <v>5.1585519455189999E-14</v>
      </c>
      <c r="H213" s="161">
        <v>7.7154425556336501E-21</v>
      </c>
      <c r="I213" s="161">
        <v>-2.3010167705110544E-25</v>
      </c>
      <c r="J213" s="161">
        <v>-7.0136658819154385E-10</v>
      </c>
      <c r="K213" s="161">
        <v>2.6209140602023823E-10</v>
      </c>
      <c r="L213" s="161">
        <v>-1.4613984319167917E-9</v>
      </c>
      <c r="M213" s="161">
        <v>3.4927752454259734E-10</v>
      </c>
      <c r="N213" s="161">
        <v>1.2563008170091956E-9</v>
      </c>
      <c r="O213" s="161">
        <v>-2.3099837768965314E-14</v>
      </c>
      <c r="P213" s="161">
        <v>-9.0333773048060968E-12</v>
      </c>
      <c r="Q213" s="161"/>
      <c r="R213" s="161"/>
      <c r="S213" s="161"/>
      <c r="T213" s="161"/>
      <c r="U213" s="161"/>
    </row>
    <row r="214" spans="1:21">
      <c r="A214" s="19"/>
      <c r="B214" s="161">
        <v>6.8897730784249277E-10</v>
      </c>
      <c r="C214" s="161">
        <v>-6.1272886258022073E-15</v>
      </c>
      <c r="D214" s="161">
        <v>-6.5432905167380573E-18</v>
      </c>
      <c r="E214" s="161">
        <v>1.094181766238447E-19</v>
      </c>
      <c r="F214" s="161">
        <v>-9.5909289575238641E-17</v>
      </c>
      <c r="G214" s="161">
        <v>7.7154425556336501E-21</v>
      </c>
      <c r="H214" s="161">
        <v>1.9641356514851406E-25</v>
      </c>
      <c r="I214" s="161">
        <v>-2.7319386745669146E-32</v>
      </c>
      <c r="J214" s="161">
        <v>8.7380838244293596E-16</v>
      </c>
      <c r="K214" s="161">
        <v>-4.6370084682673765E-16</v>
      </c>
      <c r="L214" s="161">
        <v>-1.8283399161949579E-15</v>
      </c>
      <c r="M214" s="161">
        <v>-5.7099132750238935E-16</v>
      </c>
      <c r="N214" s="161">
        <v>8.1674463178828958E-16</v>
      </c>
      <c r="O214" s="161">
        <v>-1.9285556157444467E-20</v>
      </c>
      <c r="P214" s="161">
        <v>5.5067080268810802E-17</v>
      </c>
      <c r="Q214" s="161"/>
      <c r="R214" s="161"/>
      <c r="S214" s="161"/>
      <c r="T214" s="161"/>
      <c r="U214" s="161"/>
    </row>
    <row r="215" spans="1:21">
      <c r="A215" s="19"/>
      <c r="B215" s="161">
        <v>-1.9347425680778105E-15</v>
      </c>
      <c r="C215" s="161">
        <v>-6.3162664724294437E-21</v>
      </c>
      <c r="D215" s="161">
        <v>-1.0403225015640788E-22</v>
      </c>
      <c r="E215" s="161">
        <v>1.2479097974932682E-24</v>
      </c>
      <c r="F215" s="161">
        <v>1.0647188702341609E-20</v>
      </c>
      <c r="G215" s="161">
        <v>-2.3010167705110544E-25</v>
      </c>
      <c r="H215" s="161">
        <v>-2.7319386745669146E-32</v>
      </c>
      <c r="I215" s="161">
        <v>2.1370057987305876E-36</v>
      </c>
      <c r="J215" s="161">
        <v>-5.1262990496058073E-22</v>
      </c>
      <c r="K215" s="161">
        <v>-3.5664883470751793E-21</v>
      </c>
      <c r="L215" s="161">
        <v>6.6157398668265912E-21</v>
      </c>
      <c r="M215" s="161">
        <v>1.3383301772765288E-21</v>
      </c>
      <c r="N215" s="161">
        <v>-6.7372964847581066E-21</v>
      </c>
      <c r="O215" s="161">
        <v>2.1120324877677806E-26</v>
      </c>
      <c r="P215" s="161">
        <v>1.8413918308277612E-22</v>
      </c>
      <c r="Q215" s="161"/>
      <c r="R215" s="161"/>
      <c r="S215" s="161"/>
      <c r="T215" s="161"/>
      <c r="U215" s="161"/>
    </row>
    <row r="216" spans="1:21">
      <c r="A216" s="19"/>
      <c r="B216" s="161">
        <v>253.66513744816459</v>
      </c>
      <c r="C216" s="161">
        <v>-9.8641770897222301E-4</v>
      </c>
      <c r="D216" s="161">
        <v>-5.327493731803673E-6</v>
      </c>
      <c r="E216" s="161">
        <v>-4.7742004705021281E-7</v>
      </c>
      <c r="F216" s="161">
        <v>2.437262419367918E-4</v>
      </c>
      <c r="G216" s="161">
        <v>-7.0136658819154385E-10</v>
      </c>
      <c r="H216" s="161">
        <v>8.7380838244293596E-16</v>
      </c>
      <c r="I216" s="161">
        <v>-5.1262990496058073E-22</v>
      </c>
      <c r="J216" s="161">
        <v>3.3290768972186798E-3</v>
      </c>
      <c r="K216" s="161">
        <v>1.0587622514603484E-3</v>
      </c>
      <c r="L216" s="161">
        <v>9.8467610517209356E-4</v>
      </c>
      <c r="M216" s="161">
        <v>-3.2149312998037082E-3</v>
      </c>
      <c r="N216" s="161">
        <v>-3.3020561532626797E-3</v>
      </c>
      <c r="O216" s="161">
        <v>4.4062325175042024E-10</v>
      </c>
      <c r="P216" s="161">
        <v>4.9869829229130578E-7</v>
      </c>
      <c r="Q216" s="161"/>
      <c r="R216" s="161"/>
      <c r="S216" s="161"/>
      <c r="T216" s="161"/>
      <c r="U216" s="161"/>
    </row>
    <row r="217" spans="1:21">
      <c r="A217" s="19"/>
      <c r="B217" s="161">
        <v>-266.54301815642475</v>
      </c>
      <c r="C217" s="161">
        <v>-1.0098158566701559E-3</v>
      </c>
      <c r="D217" s="161">
        <v>5.5430225655604162E-7</v>
      </c>
      <c r="E217" s="161">
        <v>-1.6403694664101933E-7</v>
      </c>
      <c r="F217" s="161">
        <v>1.4551190876111554E-4</v>
      </c>
      <c r="G217" s="161">
        <v>2.6209140602023823E-10</v>
      </c>
      <c r="H217" s="161">
        <v>-4.6370084682673765E-16</v>
      </c>
      <c r="I217" s="161">
        <v>-3.5664883470751793E-21</v>
      </c>
      <c r="J217" s="161">
        <v>1.0587622514603484E-3</v>
      </c>
      <c r="K217" s="161">
        <v>6.9983300944587131E-3</v>
      </c>
      <c r="L217" s="161">
        <v>9.9160272849958646E-4</v>
      </c>
      <c r="M217" s="161">
        <v>-6.9866518264247853E-3</v>
      </c>
      <c r="N217" s="161">
        <v>-1.0204079576978389E-3</v>
      </c>
      <c r="O217" s="161">
        <v>-1.4946774910426256E-10</v>
      </c>
      <c r="P217" s="161">
        <v>-1.4861109895598729E-6</v>
      </c>
      <c r="Q217" s="161"/>
      <c r="R217" s="161"/>
      <c r="S217" s="161"/>
      <c r="T217" s="161"/>
      <c r="U217" s="161"/>
    </row>
    <row r="218" spans="1:21">
      <c r="A218" s="19"/>
      <c r="B218" s="161">
        <v>-169.42048724300776</v>
      </c>
      <c r="C218" s="161">
        <v>-1.1005772133603198E-3</v>
      </c>
      <c r="D218" s="161">
        <v>-3.983207114780598E-6</v>
      </c>
      <c r="E218" s="161">
        <v>2.8956593926717553E-7</v>
      </c>
      <c r="F218" s="161">
        <v>7.5212270329075417E-7</v>
      </c>
      <c r="G218" s="161">
        <v>-1.4613984319167917E-9</v>
      </c>
      <c r="H218" s="161">
        <v>-1.8283399161949579E-15</v>
      </c>
      <c r="I218" s="161">
        <v>6.6157398668265912E-21</v>
      </c>
      <c r="J218" s="161">
        <v>9.8467610517209356E-4</v>
      </c>
      <c r="K218" s="161">
        <v>9.9160272849958646E-4</v>
      </c>
      <c r="L218" s="161">
        <v>4.9847658806541377E-3</v>
      </c>
      <c r="M218" s="161">
        <v>-1.0345866700538402E-3</v>
      </c>
      <c r="N218" s="161">
        <v>-4.9239423393167125E-3</v>
      </c>
      <c r="O218" s="161">
        <v>9.5115588310905501E-10</v>
      </c>
      <c r="P218" s="161">
        <v>5.1567944950641436E-6</v>
      </c>
      <c r="Q218" s="161"/>
      <c r="R218" s="161"/>
      <c r="S218" s="161"/>
      <c r="T218" s="161"/>
      <c r="U218" s="161"/>
    </row>
    <row r="219" spans="1:21">
      <c r="A219" s="19"/>
      <c r="B219" s="161">
        <v>-20.510579965662721</v>
      </c>
      <c r="C219" s="161">
        <v>1.3384907588022976E-3</v>
      </c>
      <c r="D219" s="161">
        <v>9.4608510523961863E-6</v>
      </c>
      <c r="E219" s="161">
        <v>-2.6905440846645977E-7</v>
      </c>
      <c r="F219" s="161">
        <v>-3.384285092657731E-4</v>
      </c>
      <c r="G219" s="161">
        <v>3.4927752454259734E-10</v>
      </c>
      <c r="H219" s="161">
        <v>-5.7099132750238935E-16</v>
      </c>
      <c r="I219" s="161">
        <v>1.3383301772765288E-21</v>
      </c>
      <c r="J219" s="161">
        <v>-3.2149312998037082E-3</v>
      </c>
      <c r="K219" s="161">
        <v>-6.9866518264247853E-3</v>
      </c>
      <c r="L219" s="161">
        <v>-1.0345866700538402E-3</v>
      </c>
      <c r="M219" s="161">
        <v>1.2835068605651735E-2</v>
      </c>
      <c r="N219" s="161">
        <v>3.1476301073078456E-3</v>
      </c>
      <c r="O219" s="161">
        <v>5.9458261583632736E-10</v>
      </c>
      <c r="P219" s="161">
        <v>-7.5338547647607972E-6</v>
      </c>
      <c r="Q219" s="161"/>
      <c r="R219" s="161"/>
      <c r="S219" s="161"/>
      <c r="T219" s="161"/>
      <c r="U219" s="161"/>
    </row>
    <row r="220" spans="1:21">
      <c r="A220" s="19"/>
      <c r="B220" s="161">
        <v>-541.32975256817417</v>
      </c>
      <c r="C220" s="161">
        <v>7.5238546474115783E-4</v>
      </c>
      <c r="D220" s="161">
        <v>9.5953836983672468E-6</v>
      </c>
      <c r="E220" s="161">
        <v>4.6712028282837337E-7</v>
      </c>
      <c r="F220" s="161">
        <v>1.006258062160678E-4</v>
      </c>
      <c r="G220" s="161">
        <v>1.2563008170091956E-9</v>
      </c>
      <c r="H220" s="161">
        <v>8.1674463178828958E-16</v>
      </c>
      <c r="I220" s="161">
        <v>-6.7372964847581066E-21</v>
      </c>
      <c r="J220" s="161">
        <v>-3.3020561532626797E-3</v>
      </c>
      <c r="K220" s="161">
        <v>-1.0204079576978389E-3</v>
      </c>
      <c r="L220" s="161">
        <v>-4.9239423393167125E-3</v>
      </c>
      <c r="M220" s="161">
        <v>3.1476301073078456E-3</v>
      </c>
      <c r="N220" s="161">
        <v>9.4195266757808489E-3</v>
      </c>
      <c r="O220" s="161">
        <v>-2.6501156152373528E-9</v>
      </c>
      <c r="P220" s="161">
        <v>-7.1652758520354601E-6</v>
      </c>
      <c r="Q220" s="161"/>
      <c r="R220" s="161"/>
      <c r="S220" s="161"/>
      <c r="T220" s="161"/>
      <c r="U220" s="161"/>
    </row>
    <row r="221" spans="1:21">
      <c r="A221" s="19"/>
      <c r="B221" s="161">
        <v>-4.2612663416446251E-4</v>
      </c>
      <c r="C221" s="161">
        <v>3.3396775612324868E-10</v>
      </c>
      <c r="D221" s="161">
        <v>1.7200065287270041E-12</v>
      </c>
      <c r="E221" s="161">
        <v>2.3378029099799874E-13</v>
      </c>
      <c r="F221" s="161">
        <v>-4.7002171084597453E-10</v>
      </c>
      <c r="G221" s="161">
        <v>-2.3099837768965314E-14</v>
      </c>
      <c r="H221" s="161">
        <v>-1.9285556157444467E-20</v>
      </c>
      <c r="I221" s="161">
        <v>2.1120324877677806E-26</v>
      </c>
      <c r="J221" s="161">
        <v>4.4062325175042024E-10</v>
      </c>
      <c r="K221" s="161">
        <v>-1.4946774910426256E-10</v>
      </c>
      <c r="L221" s="161">
        <v>9.5115588310905501E-10</v>
      </c>
      <c r="M221" s="161">
        <v>5.9458261583632736E-10</v>
      </c>
      <c r="N221" s="161">
        <v>-2.6501156152373528E-9</v>
      </c>
      <c r="O221" s="161">
        <v>5.0769237203744874E-14</v>
      </c>
      <c r="P221" s="161">
        <v>-1.6965243003049645E-11</v>
      </c>
      <c r="Q221" s="161"/>
      <c r="R221" s="161"/>
      <c r="S221" s="161"/>
      <c r="T221" s="161"/>
      <c r="U221" s="161"/>
    </row>
    <row r="222" spans="1:21" s="164" customFormat="1">
      <c r="A222" s="19"/>
      <c r="B222" s="161">
        <v>-4.492442432557163</v>
      </c>
      <c r="C222" s="161">
        <v>9.2620149511504046E-7</v>
      </c>
      <c r="D222" s="161">
        <v>-1.6428585380810758E-6</v>
      </c>
      <c r="E222" s="161">
        <v>1.5403849339767521E-9</v>
      </c>
      <c r="F222" s="161">
        <v>-3.3424445403879063E-7</v>
      </c>
      <c r="G222" s="161">
        <v>-9.0333773048060968E-12</v>
      </c>
      <c r="H222" s="161">
        <v>5.5067080268810802E-17</v>
      </c>
      <c r="I222" s="161">
        <v>1.8413918308277612E-22</v>
      </c>
      <c r="J222" s="161">
        <v>4.9869829229130578E-7</v>
      </c>
      <c r="K222" s="161">
        <v>-1.4861109895598729E-6</v>
      </c>
      <c r="L222" s="161">
        <v>5.1567944950641436E-6</v>
      </c>
      <c r="M222" s="161">
        <v>-7.5338547647607972E-6</v>
      </c>
      <c r="N222" s="161">
        <v>-7.1652758520354601E-6</v>
      </c>
      <c r="O222" s="161">
        <v>-1.6965243003049645E-11</v>
      </c>
      <c r="P222" s="161">
        <v>3.2933610588195637E-6</v>
      </c>
      <c r="Q222" s="19"/>
      <c r="R222" s="19"/>
      <c r="S222" s="19"/>
      <c r="T222" s="19"/>
      <c r="U222" s="19"/>
    </row>
    <row r="223" spans="1:21">
      <c r="A223" s="19"/>
      <c r="B223" s="161"/>
      <c r="C223" s="161"/>
      <c r="D223" s="161"/>
      <c r="E223" s="161"/>
      <c r="F223" s="161"/>
      <c r="G223" s="161"/>
      <c r="H223" s="161"/>
      <c r="I223" s="161"/>
      <c r="J223" s="161"/>
      <c r="K223" s="161"/>
      <c r="L223" s="161"/>
      <c r="M223" s="161"/>
      <c r="N223" s="161"/>
      <c r="O223" s="161"/>
      <c r="P223" s="161"/>
      <c r="Q223" s="161"/>
      <c r="R223" s="161"/>
      <c r="S223" s="161"/>
      <c r="T223" s="161"/>
      <c r="U223" s="161"/>
    </row>
    <row r="224" spans="1:21">
      <c r="A224" s="19" t="s">
        <v>113</v>
      </c>
      <c r="B224" s="161" t="s">
        <v>97</v>
      </c>
      <c r="C224" s="147">
        <f t="shared" ref="C224:O224" si="13">IF(C225="B0",$E$2,
IF(C225="agec",$F$2,
IF(C225="agec2",$G$2,
IF(C225="agec3",$H$2,
IF(C225="sexq",$I$2,
IF(C225="tivc",$J$2,
IF(C225="tivc2",$K$2,
IF(C225="tivc3",$L$2,
IF(C225="MFSq",$M$2,
IF(C225="GE",$N$2,
IF(C225="Philips",$O$2,
IF(C225="GE_X_MFSq",$P$2,
IF(C225="Philips_X_MFSq",$Q$2,
IF(C225="tivc_X_MFSq",$R$2,
IF(C225="agec_X_sexq",$S$2,
IF(C225="tivc_X_GE",$T$2,
IF(C225="tivc_X_Philips",$U$2, "Error"
)))))))))))))))))</f>
        <v>1</v>
      </c>
      <c r="D224" s="147">
        <f t="shared" si="13"/>
        <v>-47.563461699999998</v>
      </c>
      <c r="E224" s="147">
        <f t="shared" si="13"/>
        <v>2262.2828888873669</v>
      </c>
      <c r="F224" s="147">
        <f t="shared" si="13"/>
        <v>-107602.00554015962</v>
      </c>
      <c r="G224" s="147">
        <f t="shared" si="13"/>
        <v>0</v>
      </c>
      <c r="H224" s="147">
        <f t="shared" si="13"/>
        <v>-1521907.28</v>
      </c>
      <c r="I224" s="147">
        <f t="shared" si="13"/>
        <v>2316201768916.9985</v>
      </c>
      <c r="J224" s="147">
        <f t="shared" si="13"/>
        <v>0</v>
      </c>
      <c r="K224" s="147">
        <f t="shared" si="13"/>
        <v>0</v>
      </c>
      <c r="L224" s="147">
        <f t="shared" si="13"/>
        <v>0</v>
      </c>
      <c r="M224" s="147">
        <f t="shared" si="13"/>
        <v>0</v>
      </c>
      <c r="N224" s="147">
        <f t="shared" si="13"/>
        <v>0</v>
      </c>
      <c r="O224" s="147">
        <f t="shared" si="13"/>
        <v>0</v>
      </c>
      <c r="P224" s="161"/>
      <c r="Q224" s="161"/>
      <c r="R224" s="161"/>
      <c r="S224" s="161"/>
      <c r="T224" s="161"/>
      <c r="U224" s="161"/>
    </row>
    <row r="225" spans="1:21">
      <c r="A225" s="19"/>
      <c r="B225" s="161" t="s">
        <v>98</v>
      </c>
      <c r="C225" s="161" t="s">
        <v>42</v>
      </c>
      <c r="D225" s="161" t="s">
        <v>43</v>
      </c>
      <c r="E225" s="161" t="s">
        <v>57</v>
      </c>
      <c r="F225" s="161" t="s">
        <v>66</v>
      </c>
      <c r="G225" s="161" t="s">
        <v>69</v>
      </c>
      <c r="H225" s="161" t="s">
        <v>44</v>
      </c>
      <c r="I225" s="161" t="s">
        <v>45</v>
      </c>
      <c r="J225" s="161" t="s">
        <v>92</v>
      </c>
      <c r="K225" s="161" t="s">
        <v>1</v>
      </c>
      <c r="L225" s="161" t="s">
        <v>2</v>
      </c>
      <c r="M225" s="161" t="s">
        <v>93</v>
      </c>
      <c r="N225" s="161" t="s">
        <v>94</v>
      </c>
      <c r="O225" s="161" t="s">
        <v>95</v>
      </c>
      <c r="P225" s="161"/>
      <c r="Q225" s="161"/>
      <c r="R225" s="161"/>
      <c r="S225" s="161"/>
      <c r="T225" s="161"/>
      <c r="U225" s="161"/>
    </row>
    <row r="226" spans="1:21">
      <c r="A226" s="19"/>
      <c r="B226" s="161">
        <v>4836.0667268196694</v>
      </c>
      <c r="C226" s="161">
        <v>2.8288860027037861E-3</v>
      </c>
      <c r="D226" s="161">
        <v>-2.4151437744111056E-5</v>
      </c>
      <c r="E226" s="161">
        <v>-2.1539039321800649E-6</v>
      </c>
      <c r="F226" s="161">
        <v>4.1863041455945943E-8</v>
      </c>
      <c r="G226" s="161">
        <v>-1.3116988029975359E-3</v>
      </c>
      <c r="H226" s="161">
        <v>2.6861030129531696E-9</v>
      </c>
      <c r="I226" s="161">
        <v>-6.0736754302768955E-15</v>
      </c>
      <c r="J226" s="161">
        <v>-9.5903619466055333E-4</v>
      </c>
      <c r="K226" s="161">
        <v>-1.0120271399369769E-3</v>
      </c>
      <c r="L226" s="161">
        <v>-1.0936985165642741E-3</v>
      </c>
      <c r="M226" s="161">
        <v>1.4041767712400406E-3</v>
      </c>
      <c r="N226" s="161">
        <v>7.1738431201107979E-4</v>
      </c>
      <c r="O226" s="161">
        <v>1.9510175733989781E-6</v>
      </c>
      <c r="P226" s="161"/>
      <c r="Q226" s="161"/>
      <c r="R226" s="161"/>
      <c r="S226" s="161"/>
      <c r="T226" s="161"/>
      <c r="U226" s="161"/>
    </row>
    <row r="227" spans="1:21">
      <c r="A227" s="19"/>
      <c r="B227" s="161">
        <v>-19.192143332686257</v>
      </c>
      <c r="C227" s="161">
        <v>-2.4151437744111056E-5</v>
      </c>
      <c r="D227" s="161">
        <v>6.3856205845036183E-6</v>
      </c>
      <c r="E227" s="161">
        <v>7.1363865673612708E-8</v>
      </c>
      <c r="F227" s="161">
        <v>-6.8209158483804953E-9</v>
      </c>
      <c r="G227" s="161">
        <v>5.5379481547884783E-6</v>
      </c>
      <c r="H227" s="161">
        <v>7.5402594162570847E-12</v>
      </c>
      <c r="I227" s="161">
        <v>7.7563997449008381E-19</v>
      </c>
      <c r="J227" s="161">
        <v>-1.0569499328551263E-5</v>
      </c>
      <c r="K227" s="161">
        <v>-8.4826738594127918E-7</v>
      </c>
      <c r="L227" s="161">
        <v>-2.7363592375491764E-6</v>
      </c>
      <c r="M227" s="161">
        <v>-1.7898653867319085E-7</v>
      </c>
      <c r="N227" s="161">
        <v>1.5124626570106803E-5</v>
      </c>
      <c r="O227" s="161">
        <v>-1.6727979878075753E-6</v>
      </c>
      <c r="P227" s="161"/>
      <c r="Q227" s="161"/>
      <c r="R227" s="161"/>
      <c r="S227" s="161"/>
      <c r="T227" s="161"/>
      <c r="U227" s="161"/>
    </row>
    <row r="228" spans="1:21">
      <c r="A228" s="19"/>
      <c r="B228" s="161">
        <v>0.34602524043277499</v>
      </c>
      <c r="C228" s="161">
        <v>-2.1539039321800649E-6</v>
      </c>
      <c r="D228" s="161">
        <v>7.1363865673612708E-8</v>
      </c>
      <c r="E228" s="161">
        <v>5.1386050544651122E-9</v>
      </c>
      <c r="F228" s="161">
        <v>-1.205516608571401E-10</v>
      </c>
      <c r="G228" s="161">
        <v>1.2599817507529013E-7</v>
      </c>
      <c r="H228" s="161">
        <v>-6.8950271315634711E-13</v>
      </c>
      <c r="I228" s="161">
        <v>3.3154327787310971E-19</v>
      </c>
      <c r="J228" s="161">
        <v>-5.710006598665908E-7</v>
      </c>
      <c r="K228" s="161">
        <v>-1.8484008230530491E-7</v>
      </c>
      <c r="L228" s="161">
        <v>2.9734194741275853E-7</v>
      </c>
      <c r="M228" s="161">
        <v>-4.5235707493886575E-7</v>
      </c>
      <c r="N228" s="161">
        <v>5.8356877810884007E-7</v>
      </c>
      <c r="O228" s="161">
        <v>7.4338811283731885E-10</v>
      </c>
      <c r="P228" s="161"/>
      <c r="Q228" s="161"/>
      <c r="R228" s="161"/>
      <c r="S228" s="161"/>
      <c r="T228" s="161"/>
      <c r="U228" s="161"/>
    </row>
    <row r="229" spans="1:21">
      <c r="A229" s="19"/>
      <c r="B229" s="161">
        <v>-3.9886690097774586E-3</v>
      </c>
      <c r="C229" s="161">
        <v>4.1863041455945943E-8</v>
      </c>
      <c r="D229" s="161">
        <v>-6.8209158483804953E-9</v>
      </c>
      <c r="E229" s="161">
        <v>-1.205516608571401E-10</v>
      </c>
      <c r="F229" s="161">
        <v>9.8820766464074099E-12</v>
      </c>
      <c r="G229" s="161">
        <v>-7.0071538064704116E-9</v>
      </c>
      <c r="H229" s="161">
        <v>4.2444917959242225E-15</v>
      </c>
      <c r="I229" s="161">
        <v>-1.0146783785147741E-20</v>
      </c>
      <c r="J229" s="161">
        <v>7.5261192897539146E-9</v>
      </c>
      <c r="K229" s="161">
        <v>1.8512282395597871E-9</v>
      </c>
      <c r="L229" s="161">
        <v>-1.3376480833897015E-9</v>
      </c>
      <c r="M229" s="161">
        <v>1.448700023313565E-8</v>
      </c>
      <c r="N229" s="161">
        <v>-8.2830463305584311E-9</v>
      </c>
      <c r="O229" s="161">
        <v>6.1896166120737968E-11</v>
      </c>
      <c r="P229" s="161"/>
      <c r="Q229" s="161"/>
      <c r="R229" s="161"/>
      <c r="S229" s="161"/>
      <c r="T229" s="161"/>
      <c r="U229" s="161"/>
    </row>
    <row r="230" spans="1:21">
      <c r="A230" s="19"/>
      <c r="B230" s="161">
        <v>239.28209803618606</v>
      </c>
      <c r="C230" s="161">
        <v>-1.3116988029975359E-3</v>
      </c>
      <c r="D230" s="161">
        <v>5.5379481547884783E-6</v>
      </c>
      <c r="E230" s="161">
        <v>1.2599817507529013E-7</v>
      </c>
      <c r="F230" s="161">
        <v>-7.0071538064704116E-9</v>
      </c>
      <c r="G230" s="161">
        <v>2.3081080299305252E-3</v>
      </c>
      <c r="H230" s="161">
        <v>-3.7290947463591532E-9</v>
      </c>
      <c r="I230" s="161">
        <v>-1.7024017492258777E-16</v>
      </c>
      <c r="J230" s="161">
        <v>2.4624657826653431E-4</v>
      </c>
      <c r="K230" s="161">
        <v>1.6081381912772815E-4</v>
      </c>
      <c r="L230" s="161">
        <v>-2.1069573279981992E-5</v>
      </c>
      <c r="M230" s="161">
        <v>-3.4894995016601166E-4</v>
      </c>
      <c r="N230" s="161">
        <v>1.1044120998958987E-4</v>
      </c>
      <c r="O230" s="161">
        <v>-1.5165800860960103E-6</v>
      </c>
      <c r="P230" s="161"/>
      <c r="Q230" s="161"/>
      <c r="R230" s="161"/>
      <c r="S230" s="161"/>
      <c r="T230" s="161"/>
      <c r="U230" s="161"/>
    </row>
    <row r="231" spans="1:21">
      <c r="A231" s="19"/>
      <c r="B231" s="161">
        <v>1.2510312704181446E-3</v>
      </c>
      <c r="C231" s="161">
        <v>2.6861030129531696E-9</v>
      </c>
      <c r="D231" s="161">
        <v>7.5402594162570847E-12</v>
      </c>
      <c r="E231" s="161">
        <v>-6.8950271315634711E-13</v>
      </c>
      <c r="F231" s="161">
        <v>4.2444917959242225E-15</v>
      </c>
      <c r="G231" s="161">
        <v>-3.7290947463591532E-9</v>
      </c>
      <c r="H231" s="161">
        <v>1.8203503865531879E-14</v>
      </c>
      <c r="I231" s="161">
        <v>-2.9609467635052867E-21</v>
      </c>
      <c r="J231" s="161">
        <v>-5.5792237648310382E-10</v>
      </c>
      <c r="K231" s="161">
        <v>-1.6457628982697044E-10</v>
      </c>
      <c r="L231" s="161">
        <v>-3.8059433154888348E-10</v>
      </c>
      <c r="M231" s="161">
        <v>7.5837009303851431E-10</v>
      </c>
      <c r="N231" s="161">
        <v>-5.4726556134250853E-10</v>
      </c>
      <c r="O231" s="161">
        <v>3.1801678331116535E-12</v>
      </c>
      <c r="P231" s="161"/>
      <c r="Q231" s="161"/>
      <c r="R231" s="161"/>
      <c r="S231" s="161"/>
      <c r="T231" s="161"/>
      <c r="U231" s="161"/>
    </row>
    <row r="232" spans="1:21">
      <c r="A232" s="19"/>
      <c r="B232" s="161">
        <v>3.6516819553852013E-10</v>
      </c>
      <c r="C232" s="161">
        <v>-6.0736754302768955E-15</v>
      </c>
      <c r="D232" s="161">
        <v>7.7563997449008381E-19</v>
      </c>
      <c r="E232" s="161">
        <v>3.3154327787310971E-19</v>
      </c>
      <c r="F232" s="161">
        <v>-1.0146783785147741E-20</v>
      </c>
      <c r="G232" s="161">
        <v>-1.7024017492258777E-16</v>
      </c>
      <c r="H232" s="161">
        <v>-2.9609467635052867E-21</v>
      </c>
      <c r="I232" s="161">
        <v>1.8856768848229048E-25</v>
      </c>
      <c r="J232" s="161">
        <v>9.8969835607316183E-16</v>
      </c>
      <c r="K232" s="161">
        <v>-5.6669501358386799E-16</v>
      </c>
      <c r="L232" s="161">
        <v>-1.4239993579691628E-15</v>
      </c>
      <c r="M232" s="161">
        <v>-4.2409586886786192E-16</v>
      </c>
      <c r="N232" s="161">
        <v>-1.9968441749321056E-16</v>
      </c>
      <c r="O232" s="161">
        <v>4.9858857826121132E-17</v>
      </c>
      <c r="P232" s="161"/>
      <c r="Q232" s="161"/>
      <c r="R232" s="161"/>
      <c r="S232" s="161"/>
      <c r="T232" s="161"/>
      <c r="U232" s="161"/>
    </row>
    <row r="233" spans="1:21">
      <c r="A233" s="19"/>
      <c r="B233" s="161">
        <v>282.61150487786335</v>
      </c>
      <c r="C233" s="161">
        <v>-9.5903619466055333E-4</v>
      </c>
      <c r="D233" s="161">
        <v>-1.0569499328551263E-5</v>
      </c>
      <c r="E233" s="161">
        <v>-5.710006598665908E-7</v>
      </c>
      <c r="F233" s="161">
        <v>7.5261192897539146E-9</v>
      </c>
      <c r="G233" s="161">
        <v>2.4624657826653431E-4</v>
      </c>
      <c r="H233" s="161">
        <v>-5.5792237648310382E-10</v>
      </c>
      <c r="I233" s="161">
        <v>9.8969835607316183E-16</v>
      </c>
      <c r="J233" s="161">
        <v>3.3265565826145053E-3</v>
      </c>
      <c r="K233" s="161">
        <v>1.0613654304804316E-3</v>
      </c>
      <c r="L233" s="161">
        <v>9.7821271761255337E-4</v>
      </c>
      <c r="M233" s="161">
        <v>-3.2067184410219537E-3</v>
      </c>
      <c r="N233" s="161">
        <v>-3.2836612772412055E-3</v>
      </c>
      <c r="O233" s="161">
        <v>7.6314658802655391E-7</v>
      </c>
      <c r="P233" s="161"/>
      <c r="Q233" s="161"/>
      <c r="R233" s="161"/>
      <c r="S233" s="161"/>
      <c r="T233" s="161"/>
      <c r="U233" s="161"/>
    </row>
    <row r="234" spans="1:21">
      <c r="A234" s="19"/>
      <c r="B234" s="161">
        <v>-67.040982448033986</v>
      </c>
      <c r="C234" s="161">
        <v>-1.0120271399369769E-3</v>
      </c>
      <c r="D234" s="161">
        <v>-8.4826738594127918E-7</v>
      </c>
      <c r="E234" s="161">
        <v>-1.8484008230530491E-7</v>
      </c>
      <c r="F234" s="161">
        <v>1.8512282395597871E-9</v>
      </c>
      <c r="G234" s="161">
        <v>1.6081381912772815E-4</v>
      </c>
      <c r="H234" s="161">
        <v>-1.6457628982697044E-10</v>
      </c>
      <c r="I234" s="161">
        <v>-5.6669501358386799E-16</v>
      </c>
      <c r="J234" s="161">
        <v>1.0613654304804316E-3</v>
      </c>
      <c r="K234" s="161">
        <v>6.9937005056703973E-3</v>
      </c>
      <c r="L234" s="161">
        <v>1.0053856550930136E-3</v>
      </c>
      <c r="M234" s="161">
        <v>-6.9807398246009133E-3</v>
      </c>
      <c r="N234" s="161">
        <v>-1.0401596284223798E-3</v>
      </c>
      <c r="O234" s="161">
        <v>-1.2529887252178012E-6</v>
      </c>
      <c r="P234" s="161"/>
      <c r="Q234" s="161"/>
      <c r="R234" s="161"/>
      <c r="S234" s="161"/>
      <c r="T234" s="161"/>
      <c r="U234" s="161"/>
    </row>
    <row r="235" spans="1:21">
      <c r="A235" s="19"/>
      <c r="B235" s="161">
        <v>-86.794803376236402</v>
      </c>
      <c r="C235" s="161">
        <v>-1.0936985165642741E-3</v>
      </c>
      <c r="D235" s="161">
        <v>-2.7363592375491764E-6</v>
      </c>
      <c r="E235" s="161">
        <v>2.9734194741275853E-7</v>
      </c>
      <c r="F235" s="161">
        <v>-1.3376480833897015E-9</v>
      </c>
      <c r="G235" s="161">
        <v>-2.1069573279981992E-5</v>
      </c>
      <c r="H235" s="161">
        <v>-3.8059433154888348E-10</v>
      </c>
      <c r="I235" s="161">
        <v>-1.4239993579691628E-15</v>
      </c>
      <c r="J235" s="161">
        <v>9.7821271761255337E-4</v>
      </c>
      <c r="K235" s="161">
        <v>1.0053856550930136E-3</v>
      </c>
      <c r="L235" s="161">
        <v>4.9496870565028175E-3</v>
      </c>
      <c r="M235" s="161">
        <v>-1.0522794144706691E-3</v>
      </c>
      <c r="N235" s="161">
        <v>-4.8575774199069322E-3</v>
      </c>
      <c r="O235" s="161">
        <v>4.8588782058913063E-6</v>
      </c>
      <c r="P235" s="161"/>
      <c r="Q235" s="161"/>
      <c r="R235" s="161"/>
      <c r="S235" s="161"/>
      <c r="T235" s="161"/>
      <c r="U235" s="161"/>
    </row>
    <row r="236" spans="1:21">
      <c r="A236" s="19"/>
      <c r="B236" s="161">
        <v>-293.17816250417496</v>
      </c>
      <c r="C236" s="161">
        <v>1.4041767712400406E-3</v>
      </c>
      <c r="D236" s="161">
        <v>-1.7898653867319085E-7</v>
      </c>
      <c r="E236" s="161">
        <v>-4.5235707493886575E-7</v>
      </c>
      <c r="F236" s="161">
        <v>1.448700023313565E-8</v>
      </c>
      <c r="G236" s="161">
        <v>-3.4894995016601166E-4</v>
      </c>
      <c r="H236" s="161">
        <v>7.5837009303851431E-10</v>
      </c>
      <c r="I236" s="161">
        <v>-4.2409586886786192E-16</v>
      </c>
      <c r="J236" s="161">
        <v>-3.2067184410219537E-3</v>
      </c>
      <c r="K236" s="161">
        <v>-6.9807398246009133E-3</v>
      </c>
      <c r="L236" s="161">
        <v>-1.0522794144706691E-3</v>
      </c>
      <c r="M236" s="161">
        <v>1.2824312810985212E-2</v>
      </c>
      <c r="N236" s="161">
        <v>3.1671181293323257E-3</v>
      </c>
      <c r="O236" s="161">
        <v>-7.6417253652673207E-6</v>
      </c>
      <c r="P236" s="161"/>
      <c r="Q236" s="161"/>
      <c r="R236" s="161"/>
      <c r="S236" s="161"/>
      <c r="T236" s="161"/>
      <c r="U236" s="161"/>
    </row>
    <row r="237" spans="1:21">
      <c r="A237" s="19"/>
      <c r="B237" s="161">
        <v>-626.43340983633686</v>
      </c>
      <c r="C237" s="161">
        <v>7.1738431201107979E-4</v>
      </c>
      <c r="D237" s="161">
        <v>1.5124626570106803E-5</v>
      </c>
      <c r="E237" s="161">
        <v>5.8356877810884007E-7</v>
      </c>
      <c r="F237" s="161">
        <v>-8.2830463305584311E-9</v>
      </c>
      <c r="G237" s="161">
        <v>1.1044120998958987E-4</v>
      </c>
      <c r="H237" s="161">
        <v>-5.4726556134250853E-10</v>
      </c>
      <c r="I237" s="161">
        <v>-1.9968441749321056E-16</v>
      </c>
      <c r="J237" s="161">
        <v>-3.2836612772412055E-3</v>
      </c>
      <c r="K237" s="161">
        <v>-1.0401596284223798E-3</v>
      </c>
      <c r="L237" s="161">
        <v>-4.8575774199069322E-3</v>
      </c>
      <c r="M237" s="161">
        <v>3.1671181293323257E-3</v>
      </c>
      <c r="N237" s="161">
        <v>9.2702467842882587E-3</v>
      </c>
      <c r="O237" s="161">
        <v>-7.6035747248363406E-6</v>
      </c>
      <c r="P237" s="161"/>
      <c r="Q237" s="161"/>
      <c r="R237" s="161"/>
      <c r="S237" s="161"/>
      <c r="T237" s="161"/>
      <c r="U237" s="161"/>
    </row>
    <row r="238" spans="1:21">
      <c r="A238" s="19"/>
      <c r="B238" s="161">
        <v>-5.5652241798844848</v>
      </c>
      <c r="C238" s="161">
        <v>1.9510175733989781E-6</v>
      </c>
      <c r="D238" s="161">
        <v>-1.6727979878075753E-6</v>
      </c>
      <c r="E238" s="161">
        <v>7.4338811283731885E-10</v>
      </c>
      <c r="F238" s="161">
        <v>6.1896166120737968E-11</v>
      </c>
      <c r="G238" s="161">
        <v>-1.5165800860960103E-6</v>
      </c>
      <c r="H238" s="161">
        <v>3.1801678331116535E-12</v>
      </c>
      <c r="I238" s="161">
        <v>4.9858857826121132E-17</v>
      </c>
      <c r="J238" s="161">
        <v>7.6314658802655391E-7</v>
      </c>
      <c r="K238" s="161">
        <v>-1.2529887252178012E-6</v>
      </c>
      <c r="L238" s="161">
        <v>4.8588782058913063E-6</v>
      </c>
      <c r="M238" s="161">
        <v>-7.6417253652673207E-6</v>
      </c>
      <c r="N238" s="161">
        <v>-7.6035747248363406E-6</v>
      </c>
      <c r="O238" s="161">
        <v>3.2684274467256685E-6</v>
      </c>
      <c r="P238" s="161"/>
      <c r="Q238" s="161"/>
      <c r="R238" s="161"/>
      <c r="S238" s="161"/>
      <c r="T238" s="161"/>
      <c r="U238" s="161"/>
    </row>
    <row r="239" spans="1:21">
      <c r="A239" s="19"/>
      <c r="B239" s="161"/>
      <c r="C239" s="161"/>
      <c r="D239" s="161"/>
      <c r="E239" s="161"/>
      <c r="F239" s="161"/>
      <c r="G239" s="161"/>
      <c r="H239" s="161"/>
      <c r="I239" s="161"/>
      <c r="J239" s="161"/>
      <c r="K239" s="161"/>
      <c r="L239" s="161"/>
      <c r="M239" s="161"/>
      <c r="N239" s="161"/>
      <c r="O239" s="161"/>
      <c r="P239" s="162"/>
      <c r="Q239" s="162"/>
      <c r="R239" s="161"/>
      <c r="S239" s="161"/>
      <c r="T239" s="161"/>
      <c r="U239" s="161"/>
    </row>
    <row r="240" spans="1:21">
      <c r="A240" s="19" t="s">
        <v>114</v>
      </c>
      <c r="B240" s="161" t="s">
        <v>97</v>
      </c>
      <c r="C240" s="147">
        <f t="shared" ref="C240:P240" si="14">IF(C241="B0",$E$2,
IF(C241="agec",$F$2,
IF(C241="agec2",$G$2,
IF(C241="agec3",$H$2,
IF(C241="sexq",$I$2,
IF(C241="tivc",$J$2,
IF(C241="tivc2",$K$2,
IF(C241="tivc3",$L$2,
IF(C241="MFSq",$M$2,
IF(C241="GE",$N$2,
IF(C241="Philips",$O$2,
IF(C241="GE_X_MFSq",$P$2,
IF(C241="Philips_X_MFSq",$Q$2,
IF(C241="tivc_X_MFSq",$R$2,
IF(C241="agec_X_sexq",$S$2,
IF(C241="tivc_X_GE",$T$2,
IF(C241="tivc_X_Philips",$U$2, "Error"
)))))))))))))))))</f>
        <v>1</v>
      </c>
      <c r="D240" s="147">
        <f t="shared" si="14"/>
        <v>-47.563461699999998</v>
      </c>
      <c r="E240" s="147">
        <f t="shared" si="14"/>
        <v>2262.2828888873669</v>
      </c>
      <c r="F240" s="147">
        <f t="shared" si="14"/>
        <v>-107602.00554015962</v>
      </c>
      <c r="G240" s="147">
        <f t="shared" si="14"/>
        <v>0</v>
      </c>
      <c r="H240" s="147">
        <f t="shared" si="14"/>
        <v>-1521907.28</v>
      </c>
      <c r="I240" s="147">
        <f t="shared" si="14"/>
        <v>2316201768916.9985</v>
      </c>
      <c r="J240" s="147">
        <f t="shared" si="14"/>
        <v>0</v>
      </c>
      <c r="K240" s="147">
        <f t="shared" si="14"/>
        <v>0</v>
      </c>
      <c r="L240" s="147">
        <f t="shared" si="14"/>
        <v>0</v>
      </c>
      <c r="M240" s="147">
        <f t="shared" si="14"/>
        <v>0</v>
      </c>
      <c r="N240" s="147">
        <f t="shared" si="14"/>
        <v>0</v>
      </c>
      <c r="O240" s="147">
        <f t="shared" si="14"/>
        <v>0</v>
      </c>
      <c r="P240" s="147">
        <f t="shared" si="14"/>
        <v>0</v>
      </c>
      <c r="Q240" s="161"/>
      <c r="R240" s="161"/>
      <c r="S240" s="161"/>
      <c r="T240" s="161"/>
      <c r="U240" s="161"/>
    </row>
    <row r="241" spans="1:21" s="164" customFormat="1">
      <c r="A241" s="19"/>
      <c r="B241" s="161" t="s">
        <v>98</v>
      </c>
      <c r="C241" s="161" t="s">
        <v>42</v>
      </c>
      <c r="D241" s="161" t="s">
        <v>43</v>
      </c>
      <c r="E241" s="161" t="s">
        <v>57</v>
      </c>
      <c r="F241" s="161" t="s">
        <v>66</v>
      </c>
      <c r="G241" s="161" t="s">
        <v>69</v>
      </c>
      <c r="H241" s="161" t="s">
        <v>44</v>
      </c>
      <c r="I241" s="161" t="s">
        <v>45</v>
      </c>
      <c r="J241" s="161" t="s">
        <v>92</v>
      </c>
      <c r="K241" s="161" t="s">
        <v>1</v>
      </c>
      <c r="L241" s="161" t="s">
        <v>2</v>
      </c>
      <c r="M241" s="161" t="s">
        <v>93</v>
      </c>
      <c r="N241" s="161" t="s">
        <v>94</v>
      </c>
      <c r="O241" s="161" t="s">
        <v>107</v>
      </c>
      <c r="P241" s="161" t="s">
        <v>95</v>
      </c>
      <c r="Q241" s="19"/>
      <c r="R241" s="19"/>
      <c r="S241" s="19"/>
      <c r="T241" s="19"/>
      <c r="U241" s="19"/>
    </row>
    <row r="242" spans="1:21">
      <c r="A242" s="19"/>
      <c r="B242" s="161">
        <v>7955.2591319447374</v>
      </c>
      <c r="C242" s="161">
        <v>2.8539585391170251E-3</v>
      </c>
      <c r="D242" s="161">
        <v>-2.4623754252732724E-5</v>
      </c>
      <c r="E242" s="161">
        <v>-2.1750345961612391E-6</v>
      </c>
      <c r="F242" s="161">
        <v>4.2547048785818067E-8</v>
      </c>
      <c r="G242" s="161">
        <v>-1.3271191584839294E-3</v>
      </c>
      <c r="H242" s="161">
        <v>2.5865745062328608E-9</v>
      </c>
      <c r="I242" s="161">
        <v>-6.3856467939055018E-15</v>
      </c>
      <c r="J242" s="161">
        <v>-9.5641906178575817E-4</v>
      </c>
      <c r="K242" s="161">
        <v>-1.0183539662059972E-3</v>
      </c>
      <c r="L242" s="161">
        <v>-1.0914669608570321E-3</v>
      </c>
      <c r="M242" s="161">
        <v>1.4211409970723869E-3</v>
      </c>
      <c r="N242" s="161">
        <v>6.9738454169438878E-4</v>
      </c>
      <c r="O242" s="161">
        <v>3.7995997657195557E-10</v>
      </c>
      <c r="P242" s="161">
        <v>1.9110295828459449E-6</v>
      </c>
      <c r="Q242" s="161"/>
      <c r="R242" s="161"/>
      <c r="S242" s="161"/>
      <c r="T242" s="161"/>
      <c r="U242" s="161"/>
    </row>
    <row r="243" spans="1:21">
      <c r="A243" s="19"/>
      <c r="B243" s="161">
        <v>-25.214363712917095</v>
      </c>
      <c r="C243" s="161">
        <v>-2.4623754252732724E-5</v>
      </c>
      <c r="D243" s="161">
        <v>6.3804430343416185E-6</v>
      </c>
      <c r="E243" s="161">
        <v>7.1502749690858565E-8</v>
      </c>
      <c r="F243" s="161">
        <v>-6.8217699479238007E-9</v>
      </c>
      <c r="G243" s="161">
        <v>5.6368394561593489E-6</v>
      </c>
      <c r="H243" s="161">
        <v>7.7675120489200538E-12</v>
      </c>
      <c r="I243" s="161">
        <v>1.1984099717687144E-17</v>
      </c>
      <c r="J243" s="161">
        <v>-1.0529423395943604E-5</v>
      </c>
      <c r="K243" s="161">
        <v>-6.5919213653329981E-7</v>
      </c>
      <c r="L243" s="161">
        <v>-1.6827096760462763E-6</v>
      </c>
      <c r="M243" s="161">
        <v>-4.4216516058640473E-7</v>
      </c>
      <c r="N243" s="161">
        <v>1.4281152798009886E-5</v>
      </c>
      <c r="O243" s="161">
        <v>-5.1742082396514384E-12</v>
      </c>
      <c r="P243" s="161">
        <v>-1.6639712998295926E-6</v>
      </c>
      <c r="Q243" s="161"/>
      <c r="R243" s="161"/>
      <c r="S243" s="161"/>
      <c r="T243" s="161"/>
      <c r="U243" s="161"/>
    </row>
    <row r="244" spans="1:21">
      <c r="A244" s="19"/>
      <c r="B244" s="161">
        <v>-0.51529713048380066</v>
      </c>
      <c r="C244" s="161">
        <v>-2.1750345961612391E-6</v>
      </c>
      <c r="D244" s="161">
        <v>7.1502749690858565E-8</v>
      </c>
      <c r="E244" s="161">
        <v>5.1653041886758333E-9</v>
      </c>
      <c r="F244" s="161">
        <v>-1.2093881718303983E-10</v>
      </c>
      <c r="G244" s="161">
        <v>1.2671518763519569E-7</v>
      </c>
      <c r="H244" s="161">
        <v>-7.6715430296101758E-13</v>
      </c>
      <c r="I244" s="161">
        <v>3.5307935319744033E-19</v>
      </c>
      <c r="J244" s="161">
        <v>-5.6425396594895433E-7</v>
      </c>
      <c r="K244" s="161">
        <v>-1.7298886396521408E-7</v>
      </c>
      <c r="L244" s="161">
        <v>3.2827598433865522E-7</v>
      </c>
      <c r="M244" s="161">
        <v>-4.7019401106607656E-7</v>
      </c>
      <c r="N244" s="161">
        <v>5.5358099472456433E-7</v>
      </c>
      <c r="O244" s="161">
        <v>1.1860742542745754E-13</v>
      </c>
      <c r="P244" s="161">
        <v>6.7680126088139218E-10</v>
      </c>
      <c r="Q244" s="161"/>
      <c r="R244" s="161"/>
      <c r="S244" s="161"/>
      <c r="T244" s="161"/>
      <c r="U244" s="161"/>
    </row>
    <row r="245" spans="1:21">
      <c r="A245" s="19"/>
      <c r="B245" s="161">
        <v>6.836917928996801E-3</v>
      </c>
      <c r="C245" s="161">
        <v>4.2547048785818067E-8</v>
      </c>
      <c r="D245" s="161">
        <v>-6.8217699479238007E-9</v>
      </c>
      <c r="E245" s="161">
        <v>-1.2093881718303983E-10</v>
      </c>
      <c r="F245" s="161">
        <v>9.8902703345430933E-12</v>
      </c>
      <c r="G245" s="161">
        <v>-7.2355399379256429E-9</v>
      </c>
      <c r="H245" s="161">
        <v>1.9422885950983218E-15</v>
      </c>
      <c r="I245" s="161">
        <v>-2.2936008127236907E-20</v>
      </c>
      <c r="J245" s="161">
        <v>7.5275826759435784E-9</v>
      </c>
      <c r="K245" s="161">
        <v>1.5166536892925555E-9</v>
      </c>
      <c r="L245" s="161">
        <v>-2.3228154501812182E-9</v>
      </c>
      <c r="M245" s="161">
        <v>1.5169859978223363E-8</v>
      </c>
      <c r="N245" s="161">
        <v>-7.73386599702059E-9</v>
      </c>
      <c r="O245" s="161">
        <v>1.0313197348100484E-14</v>
      </c>
      <c r="P245" s="161">
        <v>5.3650503005085445E-11</v>
      </c>
      <c r="Q245" s="161"/>
      <c r="R245" s="161"/>
      <c r="S245" s="161"/>
      <c r="T245" s="161"/>
      <c r="U245" s="161"/>
    </row>
    <row r="246" spans="1:21">
      <c r="A246" s="19"/>
      <c r="B246" s="161">
        <v>62.310439445390891</v>
      </c>
      <c r="C246" s="161">
        <v>-1.3271191584839294E-3</v>
      </c>
      <c r="D246" s="161">
        <v>5.6368394561593489E-6</v>
      </c>
      <c r="E246" s="161">
        <v>1.2671518763519569E-7</v>
      </c>
      <c r="F246" s="161">
        <v>-7.2355399379256429E-9</v>
      </c>
      <c r="G246" s="161">
        <v>2.3421677801336066E-3</v>
      </c>
      <c r="H246" s="161">
        <v>-3.6131490940125419E-9</v>
      </c>
      <c r="I246" s="161">
        <v>1.607204294508138E-16</v>
      </c>
      <c r="J246" s="161">
        <v>2.3578550286864098E-4</v>
      </c>
      <c r="K246" s="161">
        <v>1.6103776186395845E-4</v>
      </c>
      <c r="L246" s="161">
        <v>-3.9340506734813554E-5</v>
      </c>
      <c r="M246" s="161">
        <v>-3.5816950337562556E-4</v>
      </c>
      <c r="N246" s="161">
        <v>1.4860676911342802E-4</v>
      </c>
      <c r="O246" s="161">
        <v>-5.1526113907711195E-10</v>
      </c>
      <c r="P246" s="161">
        <v>-1.4082876007689978E-6</v>
      </c>
      <c r="Q246" s="161"/>
      <c r="R246" s="161"/>
      <c r="S246" s="161"/>
      <c r="T246" s="161"/>
      <c r="U246" s="161"/>
    </row>
    <row r="247" spans="1:21">
      <c r="A247" s="19"/>
      <c r="B247" s="161">
        <v>3.2052006159168315E-3</v>
      </c>
      <c r="C247" s="161">
        <v>2.5865745062328608E-9</v>
      </c>
      <c r="D247" s="161">
        <v>7.7675120489200538E-12</v>
      </c>
      <c r="E247" s="161">
        <v>-7.6715430296101758E-13</v>
      </c>
      <c r="F247" s="161">
        <v>1.9422885950983218E-15</v>
      </c>
      <c r="G247" s="161">
        <v>-3.6131490940125419E-9</v>
      </c>
      <c r="H247" s="161">
        <v>2.747001627520812E-14</v>
      </c>
      <c r="I247" s="161">
        <v>3.3335773791254406E-21</v>
      </c>
      <c r="J247" s="161">
        <v>-7.2051154293131908E-10</v>
      </c>
      <c r="K247" s="161">
        <v>-7.2558535530886721E-11</v>
      </c>
      <c r="L247" s="161">
        <v>-6.2777281264070473E-10</v>
      </c>
      <c r="M247" s="161">
        <v>4.656225551879452E-10</v>
      </c>
      <c r="N247" s="161">
        <v>4.0926177533148093E-10</v>
      </c>
      <c r="O247" s="161">
        <v>-2.1164501608661149E-14</v>
      </c>
      <c r="P247" s="161">
        <v>1.1836376279596853E-11</v>
      </c>
      <c r="Q247" s="161"/>
      <c r="R247" s="161"/>
      <c r="S247" s="161"/>
      <c r="T247" s="161"/>
      <c r="U247" s="161"/>
    </row>
    <row r="248" spans="1:21">
      <c r="A248" s="19"/>
      <c r="B248" s="161">
        <v>1.4628500689690743E-9</v>
      </c>
      <c r="C248" s="161">
        <v>-6.3856467939055018E-15</v>
      </c>
      <c r="D248" s="161">
        <v>1.1984099717687144E-17</v>
      </c>
      <c r="E248" s="161">
        <v>3.5307935319744033E-19</v>
      </c>
      <c r="F248" s="161">
        <v>-2.2936008127236907E-20</v>
      </c>
      <c r="G248" s="161">
        <v>1.607204294508138E-16</v>
      </c>
      <c r="H248" s="161">
        <v>3.3335773791254406E-21</v>
      </c>
      <c r="I248" s="161">
        <v>2.0234668175867374E-25</v>
      </c>
      <c r="J248" s="161">
        <v>7.0982181762376028E-16</v>
      </c>
      <c r="K248" s="161">
        <v>-7.384089660682277E-16</v>
      </c>
      <c r="L248" s="161">
        <v>-2.0670680527048804E-15</v>
      </c>
      <c r="M248" s="161">
        <v>-5.2621194003204291E-16</v>
      </c>
      <c r="N248" s="161">
        <v>1.0470794699386506E-15</v>
      </c>
      <c r="O248" s="161">
        <v>-1.7737394308364688E-20</v>
      </c>
      <c r="P248" s="161">
        <v>5.3966332752075331E-17</v>
      </c>
      <c r="Q248" s="161"/>
      <c r="R248" s="161"/>
      <c r="S248" s="161"/>
      <c r="T248" s="161"/>
      <c r="U248" s="161"/>
    </row>
    <row r="249" spans="1:21">
      <c r="A249" s="19"/>
      <c r="B249" s="161">
        <v>-520.3680797782298</v>
      </c>
      <c r="C249" s="161">
        <v>-9.5641906178575817E-4</v>
      </c>
      <c r="D249" s="161">
        <v>-1.0529423395943604E-5</v>
      </c>
      <c r="E249" s="161">
        <v>-5.6425396594895433E-7</v>
      </c>
      <c r="F249" s="161">
        <v>7.5275826759435784E-9</v>
      </c>
      <c r="G249" s="161">
        <v>2.3578550286864098E-4</v>
      </c>
      <c r="H249" s="161">
        <v>-7.2051154293131908E-10</v>
      </c>
      <c r="I249" s="161">
        <v>7.0982181762376028E-16</v>
      </c>
      <c r="J249" s="161">
        <v>3.3340130557814379E-3</v>
      </c>
      <c r="K249" s="161">
        <v>1.0650256586882548E-3</v>
      </c>
      <c r="L249" s="161">
        <v>9.8789686931893676E-4</v>
      </c>
      <c r="M249" s="161">
        <v>-3.2052369966820669E-3</v>
      </c>
      <c r="N249" s="161">
        <v>-3.3076393772150004E-3</v>
      </c>
      <c r="O249" s="161">
        <v>4.5556288209861345E-10</v>
      </c>
      <c r="P249" s="161">
        <v>5.9838404380065894E-7</v>
      </c>
      <c r="Q249" s="161"/>
      <c r="R249" s="161"/>
      <c r="S249" s="161"/>
      <c r="T249" s="161"/>
      <c r="U249" s="161"/>
    </row>
    <row r="250" spans="1:21">
      <c r="A250" s="19"/>
      <c r="B250" s="161">
        <v>149.07852399886303</v>
      </c>
      <c r="C250" s="161">
        <v>-1.0183539662059972E-3</v>
      </c>
      <c r="D250" s="161">
        <v>-6.5919213653329981E-7</v>
      </c>
      <c r="E250" s="161">
        <v>-1.7298886396521408E-7</v>
      </c>
      <c r="F250" s="161">
        <v>1.5166536892925555E-9</v>
      </c>
      <c r="G250" s="161">
        <v>1.6103776186395845E-4</v>
      </c>
      <c r="H250" s="161">
        <v>-7.2558535530886721E-11</v>
      </c>
      <c r="I250" s="161">
        <v>-7.384089660682277E-16</v>
      </c>
      <c r="J250" s="161">
        <v>1.0650256586882548E-3</v>
      </c>
      <c r="K250" s="161">
        <v>7.0394115343894439E-3</v>
      </c>
      <c r="L250" s="161">
        <v>1.0148249073181294E-3</v>
      </c>
      <c r="M250" s="161">
        <v>-7.0276811516027E-3</v>
      </c>
      <c r="N250" s="161">
        <v>-1.04117366329216E-3</v>
      </c>
      <c r="O250" s="161">
        <v>-1.4473978355162475E-10</v>
      </c>
      <c r="P250" s="161">
        <v>-8.8930042930970761E-7</v>
      </c>
      <c r="Q250" s="161"/>
      <c r="R250" s="161"/>
      <c r="S250" s="161"/>
      <c r="T250" s="161"/>
      <c r="U250" s="161"/>
    </row>
    <row r="251" spans="1:21">
      <c r="A251" s="19"/>
      <c r="B251" s="161">
        <v>55.231163838284154</v>
      </c>
      <c r="C251" s="161">
        <v>-1.0914669608570321E-3</v>
      </c>
      <c r="D251" s="161">
        <v>-1.6827096760462763E-6</v>
      </c>
      <c r="E251" s="161">
        <v>3.2827598433865522E-7</v>
      </c>
      <c r="F251" s="161">
        <v>-2.3228154501812182E-9</v>
      </c>
      <c r="G251" s="161">
        <v>-3.9340506734813554E-5</v>
      </c>
      <c r="H251" s="161">
        <v>-6.2777281264070473E-10</v>
      </c>
      <c r="I251" s="161">
        <v>-2.0670680527048804E-15</v>
      </c>
      <c r="J251" s="161">
        <v>9.8789686931893676E-4</v>
      </c>
      <c r="K251" s="161">
        <v>1.0148249073181294E-3</v>
      </c>
      <c r="L251" s="161">
        <v>4.9459280732152581E-3</v>
      </c>
      <c r="M251" s="161">
        <v>-1.0515214329831226E-3</v>
      </c>
      <c r="N251" s="161">
        <v>-4.8758760137020598E-3</v>
      </c>
      <c r="O251" s="161">
        <v>7.992574067533398E-10</v>
      </c>
      <c r="P251" s="161">
        <v>4.1880307153387472E-6</v>
      </c>
      <c r="Q251" s="161"/>
      <c r="R251" s="161"/>
      <c r="S251" s="161"/>
      <c r="T251" s="161"/>
      <c r="U251" s="161"/>
    </row>
    <row r="252" spans="1:21">
      <c r="A252" s="19"/>
      <c r="B252" s="161">
        <v>11.128781919698826</v>
      </c>
      <c r="C252" s="161">
        <v>1.4211409970723869E-3</v>
      </c>
      <c r="D252" s="161">
        <v>-4.4216516058640473E-7</v>
      </c>
      <c r="E252" s="161">
        <v>-4.7019401106607656E-7</v>
      </c>
      <c r="F252" s="161">
        <v>1.5169859978223363E-8</v>
      </c>
      <c r="G252" s="161">
        <v>-3.5816950337562556E-4</v>
      </c>
      <c r="H252" s="161">
        <v>4.656225551879452E-10</v>
      </c>
      <c r="I252" s="161">
        <v>-5.2621194003204291E-16</v>
      </c>
      <c r="J252" s="161">
        <v>-3.2052369966820669E-3</v>
      </c>
      <c r="K252" s="161">
        <v>-7.0276811516027E-3</v>
      </c>
      <c r="L252" s="161">
        <v>-1.0515214329831226E-3</v>
      </c>
      <c r="M252" s="161">
        <v>1.2869783274600609E-2</v>
      </c>
      <c r="N252" s="161">
        <v>3.1384761758807096E-3</v>
      </c>
      <c r="O252" s="161">
        <v>6.8943058897860059E-10</v>
      </c>
      <c r="P252" s="161">
        <v>-8.2960143910363141E-6</v>
      </c>
      <c r="Q252" s="161"/>
      <c r="R252" s="161"/>
      <c r="S252" s="161"/>
      <c r="T252" s="161"/>
      <c r="U252" s="161"/>
    </row>
    <row r="253" spans="1:21">
      <c r="A253" s="19"/>
      <c r="B253" s="161">
        <v>392.10193443623501</v>
      </c>
      <c r="C253" s="161">
        <v>6.9738454169438878E-4</v>
      </c>
      <c r="D253" s="161">
        <v>1.4281152798009886E-5</v>
      </c>
      <c r="E253" s="161">
        <v>5.5358099472456433E-7</v>
      </c>
      <c r="F253" s="161">
        <v>-7.73386599702059E-9</v>
      </c>
      <c r="G253" s="161">
        <v>1.4860676911342802E-4</v>
      </c>
      <c r="H253" s="161">
        <v>4.0926177533148093E-10</v>
      </c>
      <c r="I253" s="161">
        <v>1.0470794699386506E-15</v>
      </c>
      <c r="J253" s="161">
        <v>-3.3076393772150004E-3</v>
      </c>
      <c r="K253" s="161">
        <v>-1.04117366329216E-3</v>
      </c>
      <c r="L253" s="161">
        <v>-4.8758760137020598E-3</v>
      </c>
      <c r="M253" s="161">
        <v>3.1384761758807096E-3</v>
      </c>
      <c r="N253" s="161">
        <v>9.3699511394010632E-3</v>
      </c>
      <c r="O253" s="161">
        <v>-2.5119220063742691E-9</v>
      </c>
      <c r="P253" s="161">
        <v>-6.3104541438147222E-6</v>
      </c>
      <c r="Q253" s="161"/>
      <c r="R253" s="161"/>
      <c r="S253" s="161"/>
      <c r="T253" s="161"/>
      <c r="U253" s="161"/>
    </row>
    <row r="254" spans="1:21">
      <c r="A254" s="19"/>
      <c r="B254" s="161">
        <v>5.9636797158096628E-4</v>
      </c>
      <c r="C254" s="161">
        <v>3.7995997657195557E-10</v>
      </c>
      <c r="D254" s="161">
        <v>-5.1742082396514384E-12</v>
      </c>
      <c r="E254" s="161">
        <v>1.1860742542745754E-13</v>
      </c>
      <c r="F254" s="161">
        <v>1.0313197348100484E-14</v>
      </c>
      <c r="G254" s="161">
        <v>-5.1526113907711195E-10</v>
      </c>
      <c r="H254" s="161">
        <v>-2.1164501608661149E-14</v>
      </c>
      <c r="I254" s="161">
        <v>-1.7737394308364688E-20</v>
      </c>
      <c r="J254" s="161">
        <v>4.5556288209861345E-10</v>
      </c>
      <c r="K254" s="161">
        <v>-1.4473978355162475E-10</v>
      </c>
      <c r="L254" s="161">
        <v>7.992574067533398E-10</v>
      </c>
      <c r="M254" s="161">
        <v>6.8943058897860059E-10</v>
      </c>
      <c r="N254" s="161">
        <v>-2.5119220063742691E-9</v>
      </c>
      <c r="O254" s="161">
        <v>5.0422076767708818E-14</v>
      </c>
      <c r="P254" s="161">
        <v>-1.84048604030152E-11</v>
      </c>
      <c r="Q254" s="161"/>
      <c r="R254" s="161"/>
      <c r="S254" s="161"/>
      <c r="T254" s="161"/>
      <c r="U254" s="161"/>
    </row>
    <row r="255" spans="1:21">
      <c r="A255" s="19"/>
      <c r="B255" s="161">
        <v>-5.6756310804982304</v>
      </c>
      <c r="C255" s="161">
        <v>1.9110295828459449E-6</v>
      </c>
      <c r="D255" s="161">
        <v>-1.6639712998295926E-6</v>
      </c>
      <c r="E255" s="161">
        <v>6.7680126088139218E-10</v>
      </c>
      <c r="F255" s="161">
        <v>5.3650503005085445E-11</v>
      </c>
      <c r="G255" s="161">
        <v>-1.4082876007689978E-6</v>
      </c>
      <c r="H255" s="161">
        <v>1.1836376279596853E-11</v>
      </c>
      <c r="I255" s="161">
        <v>5.3966332752075331E-17</v>
      </c>
      <c r="J255" s="161">
        <v>5.9838404380065894E-7</v>
      </c>
      <c r="K255" s="161">
        <v>-8.8930042930970761E-7</v>
      </c>
      <c r="L255" s="161">
        <v>4.1880307153387472E-6</v>
      </c>
      <c r="M255" s="161">
        <v>-8.2960143910363141E-6</v>
      </c>
      <c r="N255" s="161">
        <v>-6.3104541438147222E-6</v>
      </c>
      <c r="O255" s="161">
        <v>-1.84048604030152E-11</v>
      </c>
      <c r="P255" s="161">
        <v>3.2764432594026223E-6</v>
      </c>
      <c r="Q255" s="161"/>
      <c r="R255" s="161"/>
      <c r="S255" s="161"/>
      <c r="T255" s="161"/>
      <c r="U255" s="161"/>
    </row>
    <row r="256" spans="1:21">
      <c r="A256" s="19"/>
      <c r="B256" s="161"/>
      <c r="C256" s="161"/>
      <c r="D256" s="161"/>
      <c r="E256" s="161"/>
      <c r="F256" s="161"/>
      <c r="G256" s="161"/>
      <c r="H256" s="161"/>
      <c r="I256" s="161"/>
      <c r="J256" s="161"/>
      <c r="K256" s="161"/>
      <c r="L256" s="161"/>
      <c r="M256" s="161"/>
      <c r="N256" s="161"/>
      <c r="O256" s="161"/>
      <c r="P256" s="161"/>
      <c r="Q256" s="161"/>
      <c r="R256" s="161"/>
      <c r="S256" s="161"/>
      <c r="T256" s="161"/>
      <c r="U256" s="161"/>
    </row>
    <row r="257" spans="1:21">
      <c r="A257" s="19" t="s">
        <v>115</v>
      </c>
      <c r="B257" s="161" t="s">
        <v>97</v>
      </c>
      <c r="C257" s="147">
        <f t="shared" ref="C257:Q257" si="15">IF(C258="B0",$E$2,
IF(C258="agec",$F$2,
IF(C258="agec2",$G$2,
IF(C258="agec3",$H$2,
IF(C258="sexq",$I$2,
IF(C258="tivc",$J$2,
IF(C258="tivc2",$K$2,
IF(C258="tivc3",$L$2,
IF(C258="MFSq",$M$2,
IF(C258="GE",$N$2,
IF(C258="Philips",$O$2,
IF(C258="GE_X_MFSq",$P$2,
IF(C258="Philips_X_MFSq",$Q$2,
IF(C258="tivc_X_MFSq",$R$2,
IF(C258="agec_X_sexq",$S$2,
IF(C258="tivc_X_GE",$T$2,
IF(C258="tivc_X_Philips",$U$2, "Error"
)))))))))))))))))</f>
        <v>1</v>
      </c>
      <c r="D257" s="147">
        <f t="shared" si="15"/>
        <v>-47.563461699999998</v>
      </c>
      <c r="E257" s="147">
        <f t="shared" si="15"/>
        <v>2262.2828888873669</v>
      </c>
      <c r="F257" s="147">
        <f t="shared" si="15"/>
        <v>-107602.00554015962</v>
      </c>
      <c r="G257" s="147">
        <f t="shared" si="15"/>
        <v>0</v>
      </c>
      <c r="H257" s="147">
        <f t="shared" si="15"/>
        <v>-1521907.28</v>
      </c>
      <c r="I257" s="147">
        <f t="shared" si="15"/>
        <v>2316201768916.9985</v>
      </c>
      <c r="J257" s="147">
        <f t="shared" si="15"/>
        <v>0</v>
      </c>
      <c r="K257" s="147">
        <f t="shared" si="15"/>
        <v>0</v>
      </c>
      <c r="L257" s="147">
        <f t="shared" si="15"/>
        <v>0</v>
      </c>
      <c r="M257" s="147">
        <f t="shared" si="15"/>
        <v>0</v>
      </c>
      <c r="N257" s="147">
        <f t="shared" si="15"/>
        <v>0</v>
      </c>
      <c r="O257" s="147">
        <f t="shared" si="15"/>
        <v>0</v>
      </c>
      <c r="P257" s="147">
        <f t="shared" si="15"/>
        <v>0</v>
      </c>
      <c r="Q257" s="147">
        <f t="shared" si="15"/>
        <v>0</v>
      </c>
      <c r="R257" s="161"/>
      <c r="S257" s="161"/>
      <c r="T257" s="161"/>
      <c r="U257" s="161"/>
    </row>
    <row r="258" spans="1:21" s="164" customFormat="1">
      <c r="A258" s="19"/>
      <c r="B258" s="161" t="s">
        <v>98</v>
      </c>
      <c r="C258" s="161" t="s">
        <v>42</v>
      </c>
      <c r="D258" s="161" t="s">
        <v>43</v>
      </c>
      <c r="E258" s="161" t="s">
        <v>57</v>
      </c>
      <c r="F258" s="161" t="s">
        <v>66</v>
      </c>
      <c r="G258" s="161" t="s">
        <v>69</v>
      </c>
      <c r="H258" s="161" t="s">
        <v>44</v>
      </c>
      <c r="I258" s="161" t="s">
        <v>45</v>
      </c>
      <c r="J258" s="161" t="s">
        <v>92</v>
      </c>
      <c r="K258" s="161" t="s">
        <v>1</v>
      </c>
      <c r="L258" s="161" t="s">
        <v>2</v>
      </c>
      <c r="M258" s="161" t="s">
        <v>93</v>
      </c>
      <c r="N258" s="161" t="s">
        <v>94</v>
      </c>
      <c r="O258" s="161" t="s">
        <v>95</v>
      </c>
      <c r="P258" s="161" t="s">
        <v>101</v>
      </c>
      <c r="Q258" s="161" t="s">
        <v>102</v>
      </c>
      <c r="R258" s="19"/>
      <c r="S258" s="19"/>
      <c r="T258" s="19"/>
      <c r="U258" s="19"/>
    </row>
    <row r="259" spans="1:21">
      <c r="A259" s="19"/>
      <c r="B259" s="161">
        <v>7157.9131677381583</v>
      </c>
      <c r="C259" s="161">
        <v>2.8669236758773779E-3</v>
      </c>
      <c r="D259" s="161">
        <v>-2.4373276325911831E-5</v>
      </c>
      <c r="E259" s="161">
        <v>-2.1917868296198099E-6</v>
      </c>
      <c r="F259" s="161">
        <v>4.2882389820962988E-8</v>
      </c>
      <c r="G259" s="161">
        <v>-1.3280315420338992E-3</v>
      </c>
      <c r="H259" s="161">
        <v>2.9820796003496455E-9</v>
      </c>
      <c r="I259" s="161">
        <v>-6.5700392492408491E-15</v>
      </c>
      <c r="J259" s="161">
        <v>-9.5770913855611098E-4</v>
      </c>
      <c r="K259" s="161">
        <v>-1.0199838999173506E-3</v>
      </c>
      <c r="L259" s="161">
        <v>-1.1121096107291129E-3</v>
      </c>
      <c r="M259" s="161">
        <v>1.4097645365688479E-3</v>
      </c>
      <c r="N259" s="161">
        <v>7.2930167400909335E-4</v>
      </c>
      <c r="O259" s="161">
        <v>1.6911050294099226E-6</v>
      </c>
      <c r="P259" s="161">
        <v>-7.3269861296428173E-10</v>
      </c>
      <c r="Q259" s="161">
        <v>-1.6953261136244797E-10</v>
      </c>
      <c r="R259" s="161"/>
      <c r="S259" s="161"/>
      <c r="T259" s="161"/>
      <c r="U259" s="161"/>
    </row>
    <row r="260" spans="1:21">
      <c r="A260" s="19"/>
      <c r="B260" s="161">
        <v>-24.560704689917767</v>
      </c>
      <c r="C260" s="161">
        <v>-2.4373276325911831E-5</v>
      </c>
      <c r="D260" s="161">
        <v>6.4205805889948625E-6</v>
      </c>
      <c r="E260" s="161">
        <v>7.1337403333087492E-8</v>
      </c>
      <c r="F260" s="161">
        <v>-6.8517204145959089E-9</v>
      </c>
      <c r="G260" s="161">
        <v>5.9380110890859209E-6</v>
      </c>
      <c r="H260" s="161">
        <v>-2.2577142691110186E-12</v>
      </c>
      <c r="I260" s="161">
        <v>-5.2454477329778046E-18</v>
      </c>
      <c r="J260" s="161">
        <v>-1.0432132740364401E-5</v>
      </c>
      <c r="K260" s="161">
        <v>-1.123342353431092E-6</v>
      </c>
      <c r="L260" s="161">
        <v>-1.9575411403482454E-6</v>
      </c>
      <c r="M260" s="161">
        <v>-2.8838366515154055E-7</v>
      </c>
      <c r="N260" s="161">
        <v>1.3006582300755659E-5</v>
      </c>
      <c r="O260" s="161">
        <v>-1.6730091199757494E-6</v>
      </c>
      <c r="P260" s="161">
        <v>-1.4887390620932735E-11</v>
      </c>
      <c r="Q260" s="161">
        <v>3.5747142916800834E-11</v>
      </c>
      <c r="R260" s="161"/>
      <c r="S260" s="161"/>
      <c r="T260" s="161"/>
      <c r="U260" s="161"/>
    </row>
    <row r="261" spans="1:21">
      <c r="A261" s="19"/>
      <c r="B261" s="161">
        <v>-0.34448978374034256</v>
      </c>
      <c r="C261" s="161">
        <v>-2.1917868296198099E-6</v>
      </c>
      <c r="D261" s="161">
        <v>7.1337403333087492E-8</v>
      </c>
      <c r="E261" s="161">
        <v>5.1883194500469119E-9</v>
      </c>
      <c r="F261" s="161">
        <v>-1.2170514771161749E-10</v>
      </c>
      <c r="G261" s="161">
        <v>1.3921921336273445E-7</v>
      </c>
      <c r="H261" s="161">
        <v>-1.1031175604116006E-12</v>
      </c>
      <c r="I261" s="161">
        <v>5.9451657198623323E-19</v>
      </c>
      <c r="J261" s="161">
        <v>-5.7099357312404956E-7</v>
      </c>
      <c r="K261" s="161">
        <v>-1.6423818307459784E-7</v>
      </c>
      <c r="L261" s="161">
        <v>3.2389453324223337E-7</v>
      </c>
      <c r="M261" s="161">
        <v>-4.6440844433114704E-7</v>
      </c>
      <c r="N261" s="161">
        <v>5.6350774644784233E-7</v>
      </c>
      <c r="O261" s="161">
        <v>1.2743692108809776E-9</v>
      </c>
      <c r="P261" s="161">
        <v>1.2054316995006E-12</v>
      </c>
      <c r="Q261" s="161">
        <v>3.5601338141558142E-13</v>
      </c>
      <c r="R261" s="161"/>
      <c r="S261" s="161"/>
      <c r="T261" s="161"/>
      <c r="U261" s="161"/>
    </row>
    <row r="262" spans="1:21">
      <c r="A262" s="19"/>
      <c r="B262" s="161">
        <v>6.0791137756143363E-3</v>
      </c>
      <c r="C262" s="161">
        <v>4.2882389820962988E-8</v>
      </c>
      <c r="D262" s="161">
        <v>-6.8517204145959089E-9</v>
      </c>
      <c r="E262" s="161">
        <v>-1.2170514771161749E-10</v>
      </c>
      <c r="F262" s="161">
        <v>9.9447695309138789E-12</v>
      </c>
      <c r="G262" s="161">
        <v>-7.6477719287277694E-9</v>
      </c>
      <c r="H262" s="161">
        <v>2.9060796212733812E-14</v>
      </c>
      <c r="I262" s="161">
        <v>-1.0293619793467943E-20</v>
      </c>
      <c r="J262" s="161">
        <v>7.4660311682083741E-9</v>
      </c>
      <c r="K262" s="161">
        <v>1.4519063500282917E-9</v>
      </c>
      <c r="L262" s="161">
        <v>-2.1927564352540484E-9</v>
      </c>
      <c r="M262" s="161">
        <v>1.4853316838456582E-8</v>
      </c>
      <c r="N262" s="161">
        <v>-6.06352129584971E-9</v>
      </c>
      <c r="O262" s="161">
        <v>3.8089362149755216E-11</v>
      </c>
      <c r="P262" s="161">
        <v>-2.8616382987138699E-14</v>
      </c>
      <c r="Q262" s="161">
        <v>-5.2843624198251843E-14</v>
      </c>
      <c r="R262" s="161"/>
      <c r="S262" s="161"/>
      <c r="T262" s="161"/>
      <c r="U262" s="161"/>
    </row>
    <row r="263" spans="1:21">
      <c r="A263" s="19"/>
      <c r="B263" s="161">
        <v>96.759690309565272</v>
      </c>
      <c r="C263" s="161">
        <v>-1.3280315420338992E-3</v>
      </c>
      <c r="D263" s="161">
        <v>5.9380110890859209E-6</v>
      </c>
      <c r="E263" s="161">
        <v>1.3921921336273445E-7</v>
      </c>
      <c r="F263" s="161">
        <v>-7.6477719287277694E-9</v>
      </c>
      <c r="G263" s="161">
        <v>2.3289385058488524E-3</v>
      </c>
      <c r="H263" s="161">
        <v>-3.9167955782421892E-9</v>
      </c>
      <c r="I263" s="161">
        <v>1.6277478487272502E-17</v>
      </c>
      <c r="J263" s="161">
        <v>2.4163939178265581E-4</v>
      </c>
      <c r="K263" s="161">
        <v>1.4956091430818027E-4</v>
      </c>
      <c r="L263" s="161">
        <v>-1.8557896459370158E-5</v>
      </c>
      <c r="M263" s="161">
        <v>-3.4551371843995725E-4</v>
      </c>
      <c r="N263" s="161">
        <v>9.7008101878584972E-5</v>
      </c>
      <c r="O263" s="161">
        <v>-1.591081140782826E-6</v>
      </c>
      <c r="P263" s="161">
        <v>-8.4476728761214458E-11</v>
      </c>
      <c r="Q263" s="161">
        <v>3.5898541850748781E-10</v>
      </c>
      <c r="R263" s="161"/>
      <c r="S263" s="161"/>
      <c r="T263" s="161"/>
      <c r="U263" s="161"/>
    </row>
    <row r="264" spans="1:21">
      <c r="A264" s="19"/>
      <c r="B264" s="161">
        <v>3.1296841538577896E-3</v>
      </c>
      <c r="C264" s="161">
        <v>2.9820796003496455E-9</v>
      </c>
      <c r="D264" s="161">
        <v>-2.2577142691110186E-12</v>
      </c>
      <c r="E264" s="161">
        <v>-1.1031175604116006E-12</v>
      </c>
      <c r="F264" s="161">
        <v>2.9060796212733812E-14</v>
      </c>
      <c r="G264" s="161">
        <v>-3.9167955782421892E-9</v>
      </c>
      <c r="H264" s="161">
        <v>3.0857005294909689E-14</v>
      </c>
      <c r="I264" s="161">
        <v>-7.801800386949752E-22</v>
      </c>
      <c r="J264" s="161">
        <v>-5.7263389198927391E-10</v>
      </c>
      <c r="K264" s="161">
        <v>-5.9271897036074748E-10</v>
      </c>
      <c r="L264" s="161">
        <v>-4.0511708609521627E-10</v>
      </c>
      <c r="M264" s="161">
        <v>9.2703969812815877E-10</v>
      </c>
      <c r="N264" s="161">
        <v>2.8543725749092214E-11</v>
      </c>
      <c r="O264" s="161">
        <v>-9.6228836906816089E-12</v>
      </c>
      <c r="P264" s="161">
        <v>-2.4312087718142834E-14</v>
      </c>
      <c r="Q264" s="161">
        <v>-2.4492501064580325E-14</v>
      </c>
      <c r="R264" s="161"/>
      <c r="S264" s="161"/>
      <c r="T264" s="161"/>
      <c r="U264" s="161"/>
    </row>
    <row r="265" spans="1:21">
      <c r="A265" s="19"/>
      <c r="B265" s="161">
        <v>1.4244725919906493E-9</v>
      </c>
      <c r="C265" s="161">
        <v>-6.5700392492408491E-15</v>
      </c>
      <c r="D265" s="161">
        <v>-5.2454477329778046E-18</v>
      </c>
      <c r="E265" s="161">
        <v>5.9451657198623323E-19</v>
      </c>
      <c r="F265" s="161">
        <v>-1.0293619793467943E-20</v>
      </c>
      <c r="G265" s="161">
        <v>1.6277478487272502E-17</v>
      </c>
      <c r="H265" s="161">
        <v>-7.801800386949752E-22</v>
      </c>
      <c r="I265" s="161">
        <v>2.0694247229165763E-25</v>
      </c>
      <c r="J265" s="161">
        <v>8.2720068230710713E-16</v>
      </c>
      <c r="K265" s="161">
        <v>-9.1600051172107697E-16</v>
      </c>
      <c r="L265" s="161">
        <v>-1.5475940187288716E-15</v>
      </c>
      <c r="M265" s="161">
        <v>-2.3253523668827322E-16</v>
      </c>
      <c r="N265" s="161">
        <v>3.9922310990345589E-16</v>
      </c>
      <c r="O265" s="161">
        <v>5.1468905214108098E-17</v>
      </c>
      <c r="P265" s="161">
        <v>-2.121476959476408E-21</v>
      </c>
      <c r="Q265" s="161">
        <v>-1.4075561375749222E-20</v>
      </c>
      <c r="R265" s="161"/>
      <c r="S265" s="161"/>
      <c r="T265" s="161"/>
      <c r="U265" s="161"/>
    </row>
    <row r="266" spans="1:21">
      <c r="A266" s="19"/>
      <c r="B266" s="161">
        <v>-150.6286090140149</v>
      </c>
      <c r="C266" s="161">
        <v>-9.5770913855611098E-4</v>
      </c>
      <c r="D266" s="161">
        <v>-1.0432132740364401E-5</v>
      </c>
      <c r="E266" s="161">
        <v>-5.7099357312404956E-7</v>
      </c>
      <c r="F266" s="161">
        <v>7.4660311682083741E-9</v>
      </c>
      <c r="G266" s="161">
        <v>2.4163939178265581E-4</v>
      </c>
      <c r="H266" s="161">
        <v>-5.7263389198927391E-10</v>
      </c>
      <c r="I266" s="161">
        <v>8.2720068230710713E-16</v>
      </c>
      <c r="J266" s="161">
        <v>3.3309240350090077E-3</v>
      </c>
      <c r="K266" s="161">
        <v>1.0712741363940431E-3</v>
      </c>
      <c r="L266" s="161">
        <v>9.8469918501771568E-4</v>
      </c>
      <c r="M266" s="161">
        <v>-3.211874247947433E-3</v>
      </c>
      <c r="N266" s="161">
        <v>-3.2909718182135964E-3</v>
      </c>
      <c r="O266" s="161">
        <v>7.1557881853455985E-7</v>
      </c>
      <c r="P266" s="161">
        <v>1.5623077106298047E-10</v>
      </c>
      <c r="Q266" s="161">
        <v>7.6844428691731907E-11</v>
      </c>
      <c r="R266" s="161"/>
      <c r="S266" s="161"/>
      <c r="T266" s="161"/>
      <c r="U266" s="161"/>
    </row>
    <row r="267" spans="1:21">
      <c r="A267" s="19"/>
      <c r="B267" s="161">
        <v>-118.8444072479944</v>
      </c>
      <c r="C267" s="161">
        <v>-1.0199838999173506E-3</v>
      </c>
      <c r="D267" s="161">
        <v>-1.123342353431092E-6</v>
      </c>
      <c r="E267" s="161">
        <v>-1.6423818307459784E-7</v>
      </c>
      <c r="F267" s="161">
        <v>1.4519063500282917E-9</v>
      </c>
      <c r="G267" s="161">
        <v>1.4956091430818027E-4</v>
      </c>
      <c r="H267" s="161">
        <v>-5.9271897036074748E-10</v>
      </c>
      <c r="I267" s="161">
        <v>-9.1600051172107697E-16</v>
      </c>
      <c r="J267" s="161">
        <v>1.0712741363940431E-3</v>
      </c>
      <c r="K267" s="161">
        <v>7.0497352165106667E-3</v>
      </c>
      <c r="L267" s="161">
        <v>1.0272686460551159E-3</v>
      </c>
      <c r="M267" s="161">
        <v>-7.0013564378153858E-3</v>
      </c>
      <c r="N267" s="161">
        <v>-1.0537443324394363E-3</v>
      </c>
      <c r="O267" s="161">
        <v>-7.5437491900628001E-7</v>
      </c>
      <c r="P267" s="161">
        <v>2.0628796815666321E-9</v>
      </c>
      <c r="Q267" s="161">
        <v>4.3608974516103314E-10</v>
      </c>
      <c r="R267" s="161"/>
      <c r="S267" s="161"/>
      <c r="T267" s="161"/>
      <c r="U267" s="161"/>
    </row>
    <row r="268" spans="1:21">
      <c r="A268" s="19"/>
      <c r="B268" s="161">
        <v>-249.98603015755299</v>
      </c>
      <c r="C268" s="161">
        <v>-1.1121096107291129E-3</v>
      </c>
      <c r="D268" s="161">
        <v>-1.9575411403482454E-6</v>
      </c>
      <c r="E268" s="161">
        <v>3.2389453324223337E-7</v>
      </c>
      <c r="F268" s="161">
        <v>-2.1927564352540484E-9</v>
      </c>
      <c r="G268" s="161">
        <v>-1.8557896459370158E-5</v>
      </c>
      <c r="H268" s="161">
        <v>-4.0511708609521627E-10</v>
      </c>
      <c r="I268" s="161">
        <v>-1.5475940187288716E-15</v>
      </c>
      <c r="J268" s="161">
        <v>9.8469918501771568E-4</v>
      </c>
      <c r="K268" s="161">
        <v>1.0272686460551159E-3</v>
      </c>
      <c r="L268" s="161">
        <v>4.9630450928828907E-3</v>
      </c>
      <c r="M268" s="161">
        <v>-1.0652113203939871E-3</v>
      </c>
      <c r="N268" s="161">
        <v>-4.8577518832625148E-3</v>
      </c>
      <c r="O268" s="161">
        <v>4.4270275839992803E-6</v>
      </c>
      <c r="P268" s="161">
        <v>5.0680038903290905E-10</v>
      </c>
      <c r="Q268" s="161">
        <v>-9.9832616043038521E-11</v>
      </c>
      <c r="R268" s="161"/>
      <c r="S268" s="161"/>
      <c r="T268" s="161"/>
      <c r="U268" s="161"/>
    </row>
    <row r="269" spans="1:21">
      <c r="A269" s="19"/>
      <c r="B269" s="161">
        <v>67.903137879000155</v>
      </c>
      <c r="C269" s="161">
        <v>1.4097645365688479E-3</v>
      </c>
      <c r="D269" s="161">
        <v>-2.8838366515154055E-7</v>
      </c>
      <c r="E269" s="161">
        <v>-4.6440844433114704E-7</v>
      </c>
      <c r="F269" s="161">
        <v>1.4853316838456582E-8</v>
      </c>
      <c r="G269" s="161">
        <v>-3.4551371843995725E-4</v>
      </c>
      <c r="H269" s="161">
        <v>9.2703969812815877E-10</v>
      </c>
      <c r="I269" s="161">
        <v>-2.3253523668827322E-16</v>
      </c>
      <c r="J269" s="161">
        <v>-3.211874247947433E-3</v>
      </c>
      <c r="K269" s="161">
        <v>-7.0013564378153858E-3</v>
      </c>
      <c r="L269" s="161">
        <v>-1.0652113203939871E-3</v>
      </c>
      <c r="M269" s="161">
        <v>1.2834102595675238E-2</v>
      </c>
      <c r="N269" s="161">
        <v>3.1808314862258697E-3</v>
      </c>
      <c r="O269" s="161">
        <v>-7.7912660001859997E-6</v>
      </c>
      <c r="P269" s="161">
        <v>-6.563640712598843E-10</v>
      </c>
      <c r="Q269" s="161">
        <v>-2.6733105824376369E-10</v>
      </c>
      <c r="R269" s="161"/>
      <c r="S269" s="161"/>
      <c r="T269" s="161"/>
      <c r="U269" s="161"/>
    </row>
    <row r="270" spans="1:21">
      <c r="A270" s="19"/>
      <c r="B270" s="161">
        <v>152.94615443716597</v>
      </c>
      <c r="C270" s="161">
        <v>7.2930167400909335E-4</v>
      </c>
      <c r="D270" s="161">
        <v>1.3006582300755659E-5</v>
      </c>
      <c r="E270" s="161">
        <v>5.6350774644784233E-7</v>
      </c>
      <c r="F270" s="161">
        <v>-6.06352129584971E-9</v>
      </c>
      <c r="G270" s="161">
        <v>9.7008101878584972E-5</v>
      </c>
      <c r="H270" s="161">
        <v>2.8543725749092214E-11</v>
      </c>
      <c r="I270" s="161">
        <v>3.9922310990345589E-16</v>
      </c>
      <c r="J270" s="161">
        <v>-3.2909718182135964E-3</v>
      </c>
      <c r="K270" s="161">
        <v>-1.0537443324394363E-3</v>
      </c>
      <c r="L270" s="161">
        <v>-4.8577518832625148E-3</v>
      </c>
      <c r="M270" s="161">
        <v>3.1808314862258697E-3</v>
      </c>
      <c r="N270" s="161">
        <v>9.3254740516404647E-3</v>
      </c>
      <c r="O270" s="161">
        <v>-7.5827356992291879E-6</v>
      </c>
      <c r="P270" s="161">
        <v>-2.566737552962845E-10</v>
      </c>
      <c r="Q270" s="161">
        <v>-1.7905963674740456E-9</v>
      </c>
      <c r="R270" s="161"/>
      <c r="S270" s="161"/>
      <c r="T270" s="161"/>
      <c r="U270" s="161"/>
    </row>
    <row r="271" spans="1:21">
      <c r="A271" s="19"/>
      <c r="B271" s="161">
        <v>-5.6477299520106383</v>
      </c>
      <c r="C271" s="161">
        <v>1.6911050294099226E-6</v>
      </c>
      <c r="D271" s="161">
        <v>-1.6730091199757494E-6</v>
      </c>
      <c r="E271" s="161">
        <v>1.2743692108809776E-9</v>
      </c>
      <c r="F271" s="161">
        <v>3.8089362149755216E-11</v>
      </c>
      <c r="G271" s="161">
        <v>-1.591081140782826E-6</v>
      </c>
      <c r="H271" s="161">
        <v>-9.6228836906816089E-12</v>
      </c>
      <c r="I271" s="161">
        <v>5.1468905214108098E-17</v>
      </c>
      <c r="J271" s="161">
        <v>7.1557881853455985E-7</v>
      </c>
      <c r="K271" s="161">
        <v>-7.5437491900628001E-7</v>
      </c>
      <c r="L271" s="161">
        <v>4.4270275839992803E-6</v>
      </c>
      <c r="M271" s="161">
        <v>-7.7912660001859997E-6</v>
      </c>
      <c r="N271" s="161">
        <v>-7.5827356992291879E-6</v>
      </c>
      <c r="O271" s="161">
        <v>3.2943441588670295E-6</v>
      </c>
      <c r="P271" s="161">
        <v>3.1550438686349744E-11</v>
      </c>
      <c r="Q271" s="161">
        <v>2.1789651822409954E-11</v>
      </c>
      <c r="R271" s="161"/>
      <c r="S271" s="161"/>
      <c r="T271" s="161"/>
      <c r="U271" s="161"/>
    </row>
    <row r="272" spans="1:21">
      <c r="A272" s="19"/>
      <c r="B272" s="161">
        <v>-2.5709505012904408E-4</v>
      </c>
      <c r="C272" s="161">
        <v>-7.3269861296428173E-10</v>
      </c>
      <c r="D272" s="161">
        <v>-1.4887390620932735E-11</v>
      </c>
      <c r="E272" s="161">
        <v>1.2054316995006E-12</v>
      </c>
      <c r="F272" s="161">
        <v>-2.8616382987138699E-14</v>
      </c>
      <c r="G272" s="161">
        <v>-8.4476728761214458E-11</v>
      </c>
      <c r="H272" s="161">
        <v>-2.4312087718142834E-14</v>
      </c>
      <c r="I272" s="161">
        <v>-2.121476959476408E-21</v>
      </c>
      <c r="J272" s="161">
        <v>1.5623077106298047E-10</v>
      </c>
      <c r="K272" s="161">
        <v>2.0628796815666321E-9</v>
      </c>
      <c r="L272" s="161">
        <v>5.0680038903290905E-10</v>
      </c>
      <c r="M272" s="161">
        <v>-6.563640712598843E-10</v>
      </c>
      <c r="N272" s="161">
        <v>-2.566737552962845E-10</v>
      </c>
      <c r="O272" s="161">
        <v>3.1550438686349744E-11</v>
      </c>
      <c r="P272" s="161">
        <v>9.5228831650895435E-14</v>
      </c>
      <c r="Q272" s="161">
        <v>2.42161276861059E-14</v>
      </c>
      <c r="R272" s="161"/>
      <c r="S272" s="161"/>
      <c r="T272" s="161"/>
      <c r="U272" s="161"/>
    </row>
    <row r="273" spans="1:21">
      <c r="A273" s="19"/>
      <c r="B273" s="161">
        <v>-5.8309458305068698E-4</v>
      </c>
      <c r="C273" s="161">
        <v>-1.6953261136244797E-10</v>
      </c>
      <c r="D273" s="161">
        <v>3.5747142916800834E-11</v>
      </c>
      <c r="E273" s="161">
        <v>3.5601338141558142E-13</v>
      </c>
      <c r="F273" s="161">
        <v>-5.2843624198251843E-14</v>
      </c>
      <c r="G273" s="161">
        <v>3.5898541850748781E-10</v>
      </c>
      <c r="H273" s="161">
        <v>-2.4492501064580325E-14</v>
      </c>
      <c r="I273" s="161">
        <v>-1.4075561375749222E-20</v>
      </c>
      <c r="J273" s="161">
        <v>7.6844428691731907E-11</v>
      </c>
      <c r="K273" s="161">
        <v>4.3608974516103314E-10</v>
      </c>
      <c r="L273" s="161">
        <v>-9.9832616043038521E-11</v>
      </c>
      <c r="M273" s="161">
        <v>-2.6733105824376369E-10</v>
      </c>
      <c r="N273" s="161">
        <v>-1.7905963674740456E-9</v>
      </c>
      <c r="O273" s="161">
        <v>2.1789651822409954E-11</v>
      </c>
      <c r="P273" s="161">
        <v>2.42161276861059E-14</v>
      </c>
      <c r="Q273" s="161">
        <v>6.3382020219505084E-14</v>
      </c>
      <c r="R273" s="161"/>
      <c r="S273" s="161"/>
      <c r="T273" s="161"/>
      <c r="U273" s="161"/>
    </row>
    <row r="274" spans="1:21">
      <c r="A274" s="19"/>
      <c r="B274" s="161"/>
      <c r="C274" s="161"/>
      <c r="D274" s="161"/>
      <c r="E274" s="161"/>
      <c r="F274" s="161"/>
      <c r="G274" s="161"/>
      <c r="H274" s="161"/>
      <c r="I274" s="161"/>
      <c r="J274" s="161"/>
      <c r="K274" s="161"/>
      <c r="L274" s="161"/>
      <c r="M274" s="161"/>
      <c r="N274" s="161"/>
      <c r="O274" s="161"/>
      <c r="P274" s="161"/>
      <c r="Q274" s="161"/>
      <c r="R274" s="161"/>
      <c r="S274" s="161"/>
      <c r="T274" s="161"/>
      <c r="U274" s="161"/>
    </row>
    <row r="275" spans="1:21">
      <c r="A275" s="19" t="s">
        <v>116</v>
      </c>
      <c r="B275" s="161" t="s">
        <v>97</v>
      </c>
      <c r="C275" s="147">
        <f t="shared" ref="C275:O275" si="16">IF(C276="B0",$E$2,
IF(C276="agec",$F$2,
IF(C276="agec2",$G$2,
IF(C276="agec3",$H$2,
IF(C276="sexq",$I$2,
IF(C276="tivc",$J$2,
IF(C276="tivc2",$K$2,
IF(C276="tivc3",$L$2,
IF(C276="MFSq",$M$2,
IF(C276="GE",$N$2,
IF(C276="Philips",$O$2,
IF(C276="GE_X_MFSq",$P$2,
IF(C276="Philips_X_MFSq",$Q$2,
IF(C276="tivc_X_MFSq",$R$2,
IF(C276="agec_X_sexq",$S$2,
IF(C276="tivc_X_GE",$T$2,
IF(C276="tivc_X_Philips",$U$2, "Error"
)))))))))))))))))</f>
        <v>1</v>
      </c>
      <c r="D275" s="147">
        <f t="shared" si="16"/>
        <v>-47.563461699999998</v>
      </c>
      <c r="E275" s="147">
        <f t="shared" si="16"/>
        <v>2262.2828888873669</v>
      </c>
      <c r="F275" s="147">
        <f t="shared" si="16"/>
        <v>-107602.00554015962</v>
      </c>
      <c r="G275" s="147">
        <f t="shared" si="16"/>
        <v>0</v>
      </c>
      <c r="H275" s="147">
        <f t="shared" si="16"/>
        <v>-1521907.28</v>
      </c>
      <c r="I275" s="147">
        <f t="shared" si="16"/>
        <v>2316201768916.9985</v>
      </c>
      <c r="J275" s="147">
        <f t="shared" si="16"/>
        <v>0</v>
      </c>
      <c r="K275" s="147">
        <f t="shared" si="16"/>
        <v>0</v>
      </c>
      <c r="L275" s="147">
        <f t="shared" si="16"/>
        <v>0</v>
      </c>
      <c r="M275" s="147">
        <f t="shared" si="16"/>
        <v>0</v>
      </c>
      <c r="N275" s="147">
        <f t="shared" si="16"/>
        <v>0</v>
      </c>
      <c r="O275" s="147">
        <f t="shared" si="16"/>
        <v>0</v>
      </c>
      <c r="P275" s="161"/>
      <c r="Q275" s="161"/>
      <c r="R275" s="161"/>
      <c r="S275" s="161"/>
      <c r="T275" s="161"/>
      <c r="U275" s="161"/>
    </row>
    <row r="276" spans="1:21" s="164" customFormat="1">
      <c r="A276" s="19"/>
      <c r="B276" s="161" t="s">
        <v>98</v>
      </c>
      <c r="C276" s="161" t="s">
        <v>42</v>
      </c>
      <c r="D276" s="161" t="s">
        <v>43</v>
      </c>
      <c r="E276" s="161" t="s">
        <v>57</v>
      </c>
      <c r="F276" s="161" t="s">
        <v>66</v>
      </c>
      <c r="G276" s="161" t="s">
        <v>69</v>
      </c>
      <c r="H276" s="161" t="s">
        <v>44</v>
      </c>
      <c r="I276" s="161" t="s">
        <v>45</v>
      </c>
      <c r="J276" s="161" t="s">
        <v>92</v>
      </c>
      <c r="K276" s="161" t="s">
        <v>1</v>
      </c>
      <c r="L276" s="161" t="s">
        <v>2</v>
      </c>
      <c r="M276" s="161" t="s">
        <v>93</v>
      </c>
      <c r="N276" s="161" t="s">
        <v>94</v>
      </c>
      <c r="O276" s="161" t="s">
        <v>95</v>
      </c>
      <c r="P276" s="161"/>
      <c r="Q276" s="161"/>
      <c r="R276" s="19"/>
      <c r="S276" s="19"/>
      <c r="T276" s="19"/>
      <c r="U276" s="19"/>
    </row>
    <row r="277" spans="1:21">
      <c r="A277" s="19"/>
      <c r="B277" s="161">
        <v>3784.7056526350993</v>
      </c>
      <c r="C277" s="161">
        <v>2.8494039427774225E-3</v>
      </c>
      <c r="D277" s="161">
        <v>-2.4250068895986884E-5</v>
      </c>
      <c r="E277" s="161">
        <v>-2.1602868512535222E-6</v>
      </c>
      <c r="F277" s="161">
        <v>4.2080444822767445E-8</v>
      </c>
      <c r="G277" s="161">
        <v>-1.3206163562357448E-3</v>
      </c>
      <c r="H277" s="161">
        <v>2.7780145728238369E-9</v>
      </c>
      <c r="I277" s="161">
        <v>-6.5781678805201786E-15</v>
      </c>
      <c r="J277" s="161">
        <v>-9.5881035270173548E-4</v>
      </c>
      <c r="K277" s="161">
        <v>-1.0062666182651617E-3</v>
      </c>
      <c r="L277" s="161">
        <v>-1.1159920064584205E-3</v>
      </c>
      <c r="M277" s="161">
        <v>1.409211291162335E-3</v>
      </c>
      <c r="N277" s="161">
        <v>7.3866389036467465E-4</v>
      </c>
      <c r="O277" s="161">
        <v>1.8375481791421365E-6</v>
      </c>
      <c r="P277" s="161"/>
      <c r="Q277" s="161"/>
      <c r="R277" s="161"/>
      <c r="S277" s="161"/>
      <c r="T277" s="161"/>
      <c r="U277" s="161"/>
    </row>
    <row r="278" spans="1:21">
      <c r="A278" s="19"/>
      <c r="B278" s="161">
        <v>-9.2470368601567383</v>
      </c>
      <c r="C278" s="161">
        <v>-2.4250068895986884E-5</v>
      </c>
      <c r="D278" s="161">
        <v>6.3918336379675584E-6</v>
      </c>
      <c r="E278" s="161">
        <v>7.1556987925689554E-8</v>
      </c>
      <c r="F278" s="161">
        <v>-6.8301104953031033E-9</v>
      </c>
      <c r="G278" s="161">
        <v>5.4196520714726972E-6</v>
      </c>
      <c r="H278" s="161">
        <v>7.0414784373580399E-12</v>
      </c>
      <c r="I278" s="161">
        <v>2.5134795620321402E-18</v>
      </c>
      <c r="J278" s="161">
        <v>-1.0564767430971631E-5</v>
      </c>
      <c r="K278" s="161">
        <v>-8.4400862437561161E-7</v>
      </c>
      <c r="L278" s="161">
        <v>-2.0681187799920816E-6</v>
      </c>
      <c r="M278" s="161">
        <v>-3.4122090701118585E-7</v>
      </c>
      <c r="N278" s="161">
        <v>1.4516142981638503E-5</v>
      </c>
      <c r="O278" s="161">
        <v>-1.6702355294163939E-6</v>
      </c>
      <c r="P278" s="161"/>
      <c r="Q278" s="161"/>
      <c r="R278" s="161"/>
      <c r="S278" s="161"/>
      <c r="T278" s="161"/>
      <c r="U278" s="161"/>
    </row>
    <row r="279" spans="1:21">
      <c r="A279" s="19"/>
      <c r="B279" s="161">
        <v>-0.14828915233777953</v>
      </c>
      <c r="C279" s="161">
        <v>-2.1602868512535222E-6</v>
      </c>
      <c r="D279" s="161">
        <v>7.1556987925689554E-8</v>
      </c>
      <c r="E279" s="161">
        <v>5.154225348963618E-9</v>
      </c>
      <c r="F279" s="161">
        <v>-1.2096398511725922E-10</v>
      </c>
      <c r="G279" s="161">
        <v>1.2499033495353877E-7</v>
      </c>
      <c r="H279" s="161">
        <v>-7.0520450523106802E-13</v>
      </c>
      <c r="I279" s="161">
        <v>3.8120768934938486E-19</v>
      </c>
      <c r="J279" s="161">
        <v>-5.7346006227245573E-7</v>
      </c>
      <c r="K279" s="161">
        <v>-1.8680576049119167E-7</v>
      </c>
      <c r="L279" s="161">
        <v>3.0720935874353405E-7</v>
      </c>
      <c r="M279" s="161">
        <v>-4.6726921451498744E-7</v>
      </c>
      <c r="N279" s="161">
        <v>5.7676109227735303E-7</v>
      </c>
      <c r="O279" s="161">
        <v>8.7228701459642089E-10</v>
      </c>
      <c r="P279" s="161"/>
      <c r="Q279" s="161"/>
      <c r="R279" s="161"/>
      <c r="S279" s="161"/>
      <c r="T279" s="161"/>
      <c r="U279" s="161"/>
    </row>
    <row r="280" spans="1:21">
      <c r="A280" s="19"/>
      <c r="B280" s="161">
        <v>3.5121213430502024E-3</v>
      </c>
      <c r="C280" s="161">
        <v>4.2080444822767445E-8</v>
      </c>
      <c r="D280" s="161">
        <v>-6.8301104953031033E-9</v>
      </c>
      <c r="E280" s="161">
        <v>-1.2096398511725922E-10</v>
      </c>
      <c r="F280" s="161">
        <v>9.8971932149011817E-12</v>
      </c>
      <c r="G280" s="161">
        <v>-6.9166964014723294E-9</v>
      </c>
      <c r="H280" s="161">
        <v>5.1080270540237839E-15</v>
      </c>
      <c r="I280" s="161">
        <v>-1.4457922577528791E-20</v>
      </c>
      <c r="J280" s="161">
        <v>7.5961827947561342E-9</v>
      </c>
      <c r="K280" s="161">
        <v>1.9317720353186493E-9</v>
      </c>
      <c r="L280" s="161">
        <v>-1.9103233811165841E-9</v>
      </c>
      <c r="M280" s="161">
        <v>1.4955476069589133E-8</v>
      </c>
      <c r="N280" s="161">
        <v>-7.8023549810555887E-9</v>
      </c>
      <c r="O280" s="161">
        <v>5.7083799451323456E-11</v>
      </c>
      <c r="P280" s="161"/>
      <c r="Q280" s="161"/>
      <c r="R280" s="161"/>
      <c r="S280" s="161"/>
      <c r="T280" s="161"/>
      <c r="U280" s="161"/>
    </row>
    <row r="281" spans="1:21">
      <c r="A281" s="19"/>
      <c r="B281" s="161">
        <v>108.78546474177053</v>
      </c>
      <c r="C281" s="161">
        <v>-1.3206163562357448E-3</v>
      </c>
      <c r="D281" s="161">
        <v>5.4196520714726972E-6</v>
      </c>
      <c r="E281" s="161">
        <v>1.2499033495353877E-7</v>
      </c>
      <c r="F281" s="161">
        <v>-6.9166964014723294E-9</v>
      </c>
      <c r="G281" s="161">
        <v>2.3147444444507554E-3</v>
      </c>
      <c r="H281" s="161">
        <v>-3.777102239670894E-9</v>
      </c>
      <c r="I281" s="161">
        <v>4.9210226078362305E-17</v>
      </c>
      <c r="J281" s="161">
        <v>2.4695305968237954E-4</v>
      </c>
      <c r="K281" s="161">
        <v>1.5833123085922938E-4</v>
      </c>
      <c r="L281" s="161">
        <v>-8.1301848543395213E-6</v>
      </c>
      <c r="M281" s="161">
        <v>-3.4567918144000651E-4</v>
      </c>
      <c r="N281" s="161">
        <v>9.7302508231687906E-5</v>
      </c>
      <c r="O281" s="161">
        <v>-1.4978963068002342E-6</v>
      </c>
      <c r="P281" s="161"/>
      <c r="Q281" s="161"/>
      <c r="R281" s="161"/>
      <c r="S281" s="161"/>
      <c r="T281" s="161"/>
      <c r="U281" s="161"/>
    </row>
    <row r="282" spans="1:21">
      <c r="A282" s="19"/>
      <c r="B282" s="161">
        <v>1.6174414248117568E-3</v>
      </c>
      <c r="C282" s="161">
        <v>2.7780145728238369E-9</v>
      </c>
      <c r="D282" s="161">
        <v>7.0414784373580399E-12</v>
      </c>
      <c r="E282" s="161">
        <v>-7.0520450523106802E-13</v>
      </c>
      <c r="F282" s="161">
        <v>5.1080270540237839E-15</v>
      </c>
      <c r="G282" s="161">
        <v>-3.777102239670894E-9</v>
      </c>
      <c r="H282" s="161">
        <v>1.8613713617477487E-14</v>
      </c>
      <c r="I282" s="161">
        <v>-5.3538345277886841E-21</v>
      </c>
      <c r="J282" s="161">
        <v>-5.5686940314464154E-10</v>
      </c>
      <c r="K282" s="161">
        <v>-1.3653820624633212E-10</v>
      </c>
      <c r="L282" s="161">
        <v>-4.4015852758340691E-10</v>
      </c>
      <c r="M282" s="161">
        <v>7.6600041431540695E-10</v>
      </c>
      <c r="N282" s="161">
        <v>-4.8791909909368532E-10</v>
      </c>
      <c r="O282" s="161">
        <v>2.8481730319080629E-12</v>
      </c>
      <c r="P282" s="161"/>
      <c r="Q282" s="161"/>
      <c r="R282" s="161"/>
      <c r="S282" s="161"/>
      <c r="T282" s="161"/>
      <c r="U282" s="161"/>
    </row>
    <row r="283" spans="1:21">
      <c r="A283" s="19"/>
      <c r="B283" s="161">
        <v>6.0280485096989835E-10</v>
      </c>
      <c r="C283" s="161">
        <v>-6.5781678805201786E-15</v>
      </c>
      <c r="D283" s="161">
        <v>2.5134795620321402E-18</v>
      </c>
      <c r="E283" s="161">
        <v>3.8120768934938486E-19</v>
      </c>
      <c r="F283" s="161">
        <v>-1.4457922577528791E-20</v>
      </c>
      <c r="G283" s="161">
        <v>4.9210226078362305E-17</v>
      </c>
      <c r="H283" s="161">
        <v>-5.3538345277886841E-21</v>
      </c>
      <c r="I283" s="161">
        <v>2.0353482284104782E-25</v>
      </c>
      <c r="J283" s="161">
        <v>9.7441939592722146E-16</v>
      </c>
      <c r="K283" s="161">
        <v>-7.4980184489463406E-16</v>
      </c>
      <c r="L283" s="161">
        <v>-1.1583867868110401E-15</v>
      </c>
      <c r="M283" s="161">
        <v>-4.2172512615217626E-16</v>
      </c>
      <c r="N283" s="161">
        <v>-4.7637800620401713E-16</v>
      </c>
      <c r="O283" s="161">
        <v>5.3939899097739588E-17</v>
      </c>
      <c r="P283" s="161"/>
      <c r="Q283" s="161"/>
      <c r="R283" s="161"/>
      <c r="S283" s="161"/>
      <c r="T283" s="161"/>
      <c r="U283" s="161"/>
    </row>
    <row r="284" spans="1:21">
      <c r="A284" s="19"/>
      <c r="B284" s="161">
        <v>-163.22074516264894</v>
      </c>
      <c r="C284" s="161">
        <v>-9.5881035270173548E-4</v>
      </c>
      <c r="D284" s="161">
        <v>-1.0564767430971631E-5</v>
      </c>
      <c r="E284" s="161">
        <v>-5.7346006227245573E-7</v>
      </c>
      <c r="F284" s="161">
        <v>7.5961827947561342E-9</v>
      </c>
      <c r="G284" s="161">
        <v>2.4695305968237954E-4</v>
      </c>
      <c r="H284" s="161">
        <v>-5.5686940314464154E-10</v>
      </c>
      <c r="I284" s="161">
        <v>9.7441939592722146E-16</v>
      </c>
      <c r="J284" s="161">
        <v>3.3275057703995295E-3</v>
      </c>
      <c r="K284" s="161">
        <v>1.0624029591096314E-3</v>
      </c>
      <c r="L284" s="161">
        <v>9.8220921731212289E-4</v>
      </c>
      <c r="M284" s="161">
        <v>-3.2061815382261665E-3</v>
      </c>
      <c r="N284" s="161">
        <v>-3.2878280126960083E-3</v>
      </c>
      <c r="O284" s="161">
        <v>6.9496831213515591E-7</v>
      </c>
      <c r="P284" s="161"/>
      <c r="Q284" s="161"/>
      <c r="R284" s="161"/>
      <c r="S284" s="161"/>
      <c r="T284" s="161"/>
      <c r="U284" s="161"/>
    </row>
    <row r="285" spans="1:21">
      <c r="A285" s="19"/>
      <c r="B285" s="161">
        <v>104.50089187549321</v>
      </c>
      <c r="C285" s="161">
        <v>-1.0062666182651617E-3</v>
      </c>
      <c r="D285" s="161">
        <v>-8.4400862437561161E-7</v>
      </c>
      <c r="E285" s="161">
        <v>-1.8680576049119167E-7</v>
      </c>
      <c r="F285" s="161">
        <v>1.9317720353186493E-9</v>
      </c>
      <c r="G285" s="161">
        <v>1.5833123085922938E-4</v>
      </c>
      <c r="H285" s="161">
        <v>-1.3653820624633212E-10</v>
      </c>
      <c r="I285" s="161">
        <v>-7.4980184489463406E-16</v>
      </c>
      <c r="J285" s="161">
        <v>1.0624029591096314E-3</v>
      </c>
      <c r="K285" s="161">
        <v>6.9968148323743418E-3</v>
      </c>
      <c r="L285" s="161">
        <v>1.0074031615002023E-3</v>
      </c>
      <c r="M285" s="161">
        <v>-6.980887218226089E-3</v>
      </c>
      <c r="N285" s="161">
        <v>-1.0419998557847938E-3</v>
      </c>
      <c r="O285" s="161">
        <v>-1.3484721164887534E-6</v>
      </c>
      <c r="P285" s="161"/>
      <c r="Q285" s="161"/>
      <c r="R285" s="161"/>
      <c r="S285" s="161"/>
      <c r="T285" s="161"/>
      <c r="U285" s="161"/>
    </row>
    <row r="286" spans="1:21">
      <c r="A286" s="19"/>
      <c r="B286" s="161">
        <v>122.45127081221354</v>
      </c>
      <c r="C286" s="161">
        <v>-1.1159920064584205E-3</v>
      </c>
      <c r="D286" s="161">
        <v>-2.0681187799920816E-6</v>
      </c>
      <c r="E286" s="161">
        <v>3.0720935874353405E-7</v>
      </c>
      <c r="F286" s="161">
        <v>-1.9103233811165841E-9</v>
      </c>
      <c r="G286" s="161">
        <v>-8.1301848543395213E-6</v>
      </c>
      <c r="H286" s="161">
        <v>-4.4015852758340691E-10</v>
      </c>
      <c r="I286" s="161">
        <v>-1.1583867868110401E-15</v>
      </c>
      <c r="J286" s="161">
        <v>9.8220921731212289E-4</v>
      </c>
      <c r="K286" s="161">
        <v>1.0074031615002023E-3</v>
      </c>
      <c r="L286" s="161">
        <v>4.9797783794448078E-3</v>
      </c>
      <c r="M286" s="161">
        <v>-1.0582030899295085E-3</v>
      </c>
      <c r="N286" s="161">
        <v>-4.8852105724275976E-3</v>
      </c>
      <c r="O286" s="161">
        <v>4.4978679520933993E-6</v>
      </c>
      <c r="P286" s="161"/>
      <c r="Q286" s="161"/>
      <c r="R286" s="161"/>
      <c r="S286" s="161"/>
      <c r="T286" s="161"/>
      <c r="U286" s="161"/>
    </row>
    <row r="287" spans="1:21">
      <c r="A287" s="19"/>
      <c r="B287" s="161">
        <v>-83.584888434208153</v>
      </c>
      <c r="C287" s="161">
        <v>1.409211291162335E-3</v>
      </c>
      <c r="D287" s="161">
        <v>-3.4122090701118585E-7</v>
      </c>
      <c r="E287" s="161">
        <v>-4.6726921451498744E-7</v>
      </c>
      <c r="F287" s="161">
        <v>1.4955476069589133E-8</v>
      </c>
      <c r="G287" s="161">
        <v>-3.4567918144000651E-4</v>
      </c>
      <c r="H287" s="161">
        <v>7.6600041431540695E-10</v>
      </c>
      <c r="I287" s="161">
        <v>-4.2172512615217626E-16</v>
      </c>
      <c r="J287" s="161">
        <v>-3.2061815382261665E-3</v>
      </c>
      <c r="K287" s="161">
        <v>-6.980887218226089E-3</v>
      </c>
      <c r="L287" s="161">
        <v>-1.0582030899295085E-3</v>
      </c>
      <c r="M287" s="161">
        <v>1.2828882601393147E-2</v>
      </c>
      <c r="N287" s="161">
        <v>3.1704505816383863E-3</v>
      </c>
      <c r="O287" s="161">
        <v>-7.830189692459431E-6</v>
      </c>
      <c r="P287" s="161"/>
      <c r="Q287" s="161"/>
      <c r="R287" s="161"/>
      <c r="S287" s="161"/>
      <c r="T287" s="161"/>
      <c r="U287" s="161"/>
    </row>
    <row r="288" spans="1:21">
      <c r="A288" s="19"/>
      <c r="B288" s="161">
        <v>49.872267684491909</v>
      </c>
      <c r="C288" s="161">
        <v>7.3866389036467465E-4</v>
      </c>
      <c r="D288" s="161">
        <v>1.4516142981638503E-5</v>
      </c>
      <c r="E288" s="161">
        <v>5.7676109227735303E-7</v>
      </c>
      <c r="F288" s="161">
        <v>-7.8023549810555887E-9</v>
      </c>
      <c r="G288" s="161">
        <v>9.7302508231687906E-5</v>
      </c>
      <c r="H288" s="161">
        <v>-4.8791909909368532E-10</v>
      </c>
      <c r="I288" s="161">
        <v>-4.7637800620401713E-16</v>
      </c>
      <c r="J288" s="161">
        <v>-3.2878280126960083E-3</v>
      </c>
      <c r="K288" s="161">
        <v>-1.0419998557847938E-3</v>
      </c>
      <c r="L288" s="161">
        <v>-4.8852105724275976E-3</v>
      </c>
      <c r="M288" s="161">
        <v>3.1704505816383863E-3</v>
      </c>
      <c r="N288" s="161">
        <v>9.2960763176111287E-3</v>
      </c>
      <c r="O288" s="161">
        <v>-7.2407531979776147E-6</v>
      </c>
      <c r="P288" s="161"/>
      <c r="Q288" s="161"/>
      <c r="R288" s="161"/>
      <c r="S288" s="161"/>
      <c r="T288" s="161"/>
      <c r="U288" s="161"/>
    </row>
    <row r="289" spans="1:21">
      <c r="A289" s="19"/>
      <c r="B289" s="161">
        <v>-1.8752501401986461</v>
      </c>
      <c r="C289" s="161">
        <v>1.8375481791421365E-6</v>
      </c>
      <c r="D289" s="161">
        <v>-1.6702355294163939E-6</v>
      </c>
      <c r="E289" s="161">
        <v>8.7228701459642089E-10</v>
      </c>
      <c r="F289" s="161">
        <v>5.7083799451323456E-11</v>
      </c>
      <c r="G289" s="161">
        <v>-1.4978963068002342E-6</v>
      </c>
      <c r="H289" s="161">
        <v>2.8481730319080629E-12</v>
      </c>
      <c r="I289" s="161">
        <v>5.3939899097739588E-17</v>
      </c>
      <c r="J289" s="161">
        <v>6.9496831213515591E-7</v>
      </c>
      <c r="K289" s="161">
        <v>-1.3484721164887534E-6</v>
      </c>
      <c r="L289" s="161">
        <v>4.4978679520933993E-6</v>
      </c>
      <c r="M289" s="161">
        <v>-7.830189692459431E-6</v>
      </c>
      <c r="N289" s="161">
        <v>-7.2407531979776147E-6</v>
      </c>
      <c r="O289" s="161">
        <v>3.2713471895375461E-6</v>
      </c>
      <c r="P289" s="161"/>
      <c r="Q289" s="161"/>
      <c r="R289" s="161"/>
      <c r="S289" s="161"/>
      <c r="T289" s="161"/>
      <c r="U289" s="161"/>
    </row>
    <row r="290" spans="1:21">
      <c r="A290" s="19"/>
      <c r="B290" s="161"/>
      <c r="C290" s="161"/>
      <c r="D290" s="161"/>
      <c r="E290" s="161"/>
      <c r="F290" s="161"/>
      <c r="G290" s="161"/>
      <c r="H290" s="161"/>
      <c r="I290" s="161"/>
      <c r="J290" s="161"/>
      <c r="K290" s="161"/>
      <c r="L290" s="161"/>
      <c r="M290" s="161"/>
      <c r="N290" s="161"/>
      <c r="O290" s="161"/>
      <c r="P290" s="161"/>
      <c r="Q290" s="161"/>
      <c r="R290" s="161"/>
      <c r="S290" s="161"/>
      <c r="T290" s="161"/>
      <c r="U290" s="161"/>
    </row>
    <row r="291" spans="1:21">
      <c r="A291" s="19" t="s">
        <v>117</v>
      </c>
      <c r="B291" s="161" t="s">
        <v>97</v>
      </c>
      <c r="C291" s="147">
        <f t="shared" ref="C291:P291" si="17">IF(C292="B0",$E$2,
IF(C292="agec",$F$2,
IF(C292="agec2",$G$2,
IF(C292="agec3",$H$2,
IF(C292="sexq",$I$2,
IF(C292="tivc",$J$2,
IF(C292="tivc2",$K$2,
IF(C292="tivc3",$L$2,
IF(C292="MFSq",$M$2,
IF(C292="GE",$N$2,
IF(C292="Philips",$O$2,
IF(C292="GE_X_MFSq",$P$2,
IF(C292="Philips_X_MFSq",$Q$2,
IF(C292="tivc_X_MFSq",$R$2,
IF(C292="agec_X_sexq",$S$2,
IF(C292="tivc_X_GE",$T$2,
IF(C292="tivc_X_Philips",$U$2, "Error"
)))))))))))))))))</f>
        <v>1</v>
      </c>
      <c r="D291" s="147">
        <f t="shared" si="17"/>
        <v>-47.563461699999998</v>
      </c>
      <c r="E291" s="147">
        <f t="shared" si="17"/>
        <v>2262.2828888873669</v>
      </c>
      <c r="F291" s="147">
        <f t="shared" si="17"/>
        <v>0</v>
      </c>
      <c r="G291" s="147">
        <f t="shared" si="17"/>
        <v>-1521907.28</v>
      </c>
      <c r="H291" s="147">
        <f t="shared" si="17"/>
        <v>2316201768916.9985</v>
      </c>
      <c r="I291" s="147">
        <f t="shared" si="17"/>
        <v>0</v>
      </c>
      <c r="J291" s="147">
        <f t="shared" si="17"/>
        <v>0</v>
      </c>
      <c r="K291" s="147">
        <f t="shared" si="17"/>
        <v>0</v>
      </c>
      <c r="L291" s="147">
        <f t="shared" si="17"/>
        <v>0</v>
      </c>
      <c r="M291" s="147">
        <f t="shared" si="17"/>
        <v>0</v>
      </c>
      <c r="N291" s="147">
        <f t="shared" si="17"/>
        <v>0</v>
      </c>
      <c r="O291" s="147">
        <f t="shared" si="17"/>
        <v>0</v>
      </c>
      <c r="P291" s="147">
        <f t="shared" si="17"/>
        <v>0</v>
      </c>
      <c r="Q291" s="161"/>
      <c r="R291" s="161"/>
      <c r="S291" s="161"/>
      <c r="T291" s="161"/>
      <c r="U291" s="161"/>
    </row>
    <row r="292" spans="1:21">
      <c r="A292" s="19"/>
      <c r="B292" s="161" t="s">
        <v>98</v>
      </c>
      <c r="C292" s="161" t="s">
        <v>42</v>
      </c>
      <c r="D292" s="161" t="s">
        <v>43</v>
      </c>
      <c r="E292" s="161" t="s">
        <v>57</v>
      </c>
      <c r="F292" s="161" t="s">
        <v>69</v>
      </c>
      <c r="G292" s="161" t="s">
        <v>44</v>
      </c>
      <c r="H292" s="161" t="s">
        <v>45</v>
      </c>
      <c r="I292" s="161" t="s">
        <v>92</v>
      </c>
      <c r="J292" s="161" t="s">
        <v>1</v>
      </c>
      <c r="K292" s="161" t="s">
        <v>2</v>
      </c>
      <c r="L292" s="161" t="s">
        <v>93</v>
      </c>
      <c r="M292" s="161" t="s">
        <v>94</v>
      </c>
      <c r="N292" s="161" t="s">
        <v>95</v>
      </c>
      <c r="O292" s="161" t="s">
        <v>101</v>
      </c>
      <c r="P292" s="161" t="s">
        <v>102</v>
      </c>
      <c r="Q292" s="161"/>
      <c r="R292" s="161"/>
      <c r="S292" s="161"/>
      <c r="T292" s="161"/>
      <c r="U292" s="161"/>
    </row>
    <row r="293" spans="1:21">
      <c r="A293" s="19"/>
      <c r="B293" s="161">
        <v>3718.621311601833</v>
      </c>
      <c r="C293" s="161">
        <v>2.681879716232198E-3</v>
      </c>
      <c r="D293" s="161">
        <v>5.096358217363159E-6</v>
      </c>
      <c r="E293" s="161">
        <v>-1.6530154266165808E-6</v>
      </c>
      <c r="F293" s="161">
        <v>-1.2919902405187931E-3</v>
      </c>
      <c r="G293" s="161">
        <v>2.8298010273471575E-9</v>
      </c>
      <c r="H293" s="161">
        <v>-6.7582489547283572E-15</v>
      </c>
      <c r="I293" s="161">
        <v>-9.9283278491667996E-4</v>
      </c>
      <c r="J293" s="161">
        <v>-1.0319740765398452E-3</v>
      </c>
      <c r="K293" s="161">
        <v>-1.1243274901333669E-3</v>
      </c>
      <c r="L293" s="161">
        <v>1.3533497418797256E-3</v>
      </c>
      <c r="M293" s="161">
        <v>7.7505209538550888E-4</v>
      </c>
      <c r="N293" s="161">
        <v>1.4405968192514684E-6</v>
      </c>
      <c r="O293" s="161">
        <v>-5.8239125075940875E-10</v>
      </c>
      <c r="P293" s="161">
        <v>1.9973493288898757E-10</v>
      </c>
      <c r="Q293" s="161"/>
      <c r="R293" s="161"/>
      <c r="S293" s="161"/>
      <c r="T293" s="161"/>
      <c r="U293" s="161"/>
    </row>
    <row r="294" spans="1:21">
      <c r="A294" s="19"/>
      <c r="B294" s="161">
        <v>-9.1571604559842914</v>
      </c>
      <c r="C294" s="161">
        <v>5.096358217363159E-6</v>
      </c>
      <c r="D294" s="161">
        <v>1.6928860833834583E-6</v>
      </c>
      <c r="E294" s="161">
        <v>-1.2269149442954857E-8</v>
      </c>
      <c r="F294" s="161">
        <v>7.1916116374398776E-7</v>
      </c>
      <c r="G294" s="161">
        <v>1.6191675755687927E-11</v>
      </c>
      <c r="H294" s="161">
        <v>-9.603838660583985E-18</v>
      </c>
      <c r="I294" s="161">
        <v>-5.4296484524061223E-6</v>
      </c>
      <c r="J294" s="161">
        <v>-5.7770468168489266E-7</v>
      </c>
      <c r="K294" s="161">
        <v>-3.6625072760336499E-6</v>
      </c>
      <c r="L294" s="161">
        <v>1.0467109198483545E-5</v>
      </c>
      <c r="M294" s="161">
        <v>9.0227552001422265E-6</v>
      </c>
      <c r="N294" s="161">
        <v>-1.6406074625452251E-6</v>
      </c>
      <c r="O294" s="161">
        <v>-3.3034651486957302E-11</v>
      </c>
      <c r="P294" s="161">
        <v>8.1477640812078198E-13</v>
      </c>
      <c r="Q294" s="162"/>
      <c r="R294" s="162"/>
      <c r="S294" s="161"/>
      <c r="T294" s="161"/>
      <c r="U294" s="161"/>
    </row>
    <row r="295" spans="1:21">
      <c r="A295" s="19"/>
      <c r="B295" s="161">
        <v>-6.3193786202323798E-2</v>
      </c>
      <c r="C295" s="161">
        <v>-1.6530154266165808E-6</v>
      </c>
      <c r="D295" s="161">
        <v>-1.2269149442954857E-8</v>
      </c>
      <c r="E295" s="161">
        <v>3.6855185221440293E-9</v>
      </c>
      <c r="F295" s="161">
        <v>3.9751787120837309E-8</v>
      </c>
      <c r="G295" s="161">
        <v>-7.0328004119161683E-13</v>
      </c>
      <c r="H295" s="161">
        <v>2.659824237702716E-19</v>
      </c>
      <c r="I295" s="161">
        <v>-4.7894022785979202E-7</v>
      </c>
      <c r="J295" s="161">
        <v>-1.35420174482312E-7</v>
      </c>
      <c r="K295" s="161">
        <v>2.8873808078578849E-7</v>
      </c>
      <c r="L295" s="161">
        <v>-2.9098848601242608E-7</v>
      </c>
      <c r="M295" s="161">
        <v>4.9403339641521255E-7</v>
      </c>
      <c r="N295" s="161">
        <v>1.6216425122500159E-9</v>
      </c>
      <c r="O295" s="161">
        <v>7.9802931510219751E-13</v>
      </c>
      <c r="P295" s="161">
        <v>-2.5538519231965108E-13</v>
      </c>
      <c r="Q295" s="161"/>
      <c r="R295" s="161"/>
      <c r="S295" s="161"/>
      <c r="T295" s="161"/>
      <c r="U295" s="161"/>
    </row>
    <row r="296" spans="1:21" s="164" customFormat="1">
      <c r="A296" s="19"/>
      <c r="B296" s="161">
        <v>114.27660611882034</v>
      </c>
      <c r="C296" s="161">
        <v>-1.2919902405187931E-3</v>
      </c>
      <c r="D296" s="161">
        <v>7.1916116374398776E-7</v>
      </c>
      <c r="E296" s="161">
        <v>3.9751787120837309E-8</v>
      </c>
      <c r="F296" s="161">
        <v>2.3152632982475032E-3</v>
      </c>
      <c r="G296" s="161">
        <v>-3.8557386899671671E-9</v>
      </c>
      <c r="H296" s="161">
        <v>7.1112948307367235E-18</v>
      </c>
      <c r="I296" s="161">
        <v>2.5092228413675714E-4</v>
      </c>
      <c r="J296" s="161">
        <v>1.5422440322452463E-4</v>
      </c>
      <c r="K296" s="161">
        <v>-1.1151865886383111E-5</v>
      </c>
      <c r="L296" s="161">
        <v>-3.3675043389162746E-4</v>
      </c>
      <c r="M296" s="161">
        <v>8.3155221748439366E-5</v>
      </c>
      <c r="N296" s="161">
        <v>-1.4675969510381116E-6</v>
      </c>
      <c r="O296" s="161">
        <v>-1.2864794224568826E-10</v>
      </c>
      <c r="P296" s="161">
        <v>2.7790894928211435E-10</v>
      </c>
      <c r="Q296" s="19"/>
      <c r="R296" s="19"/>
      <c r="S296" s="19"/>
      <c r="T296" s="19"/>
      <c r="U296" s="19"/>
    </row>
    <row r="297" spans="1:21">
      <c r="A297" s="19"/>
      <c r="B297" s="161">
        <v>1.4632590309706563E-3</v>
      </c>
      <c r="C297" s="161">
        <v>2.8298010273471575E-9</v>
      </c>
      <c r="D297" s="161">
        <v>1.6191675755687927E-11</v>
      </c>
      <c r="E297" s="161">
        <v>-7.0328004119161683E-13</v>
      </c>
      <c r="F297" s="161">
        <v>-3.8557386899671671E-9</v>
      </c>
      <c r="G297" s="161">
        <v>3.0196046792598988E-14</v>
      </c>
      <c r="H297" s="161">
        <v>5.0249504864327633E-22</v>
      </c>
      <c r="I297" s="161">
        <v>-6.3933085277014191E-10</v>
      </c>
      <c r="J297" s="161">
        <v>-6.5671582676561443E-10</v>
      </c>
      <c r="K297" s="161">
        <v>-4.618597730777577E-10</v>
      </c>
      <c r="L297" s="161">
        <v>9.2751407979918486E-10</v>
      </c>
      <c r="M297" s="161">
        <v>1.0726845158463063E-10</v>
      </c>
      <c r="N297" s="161">
        <v>-8.5398028805755241E-12</v>
      </c>
      <c r="O297" s="161">
        <v>-2.3724457019212068E-14</v>
      </c>
      <c r="P297" s="161">
        <v>-2.3926822928457661E-14</v>
      </c>
      <c r="Q297" s="161"/>
      <c r="R297" s="161"/>
      <c r="S297" s="161"/>
      <c r="T297" s="161"/>
      <c r="U297" s="161"/>
    </row>
    <row r="298" spans="1:21">
      <c r="A298" s="19"/>
      <c r="B298" s="161">
        <v>5.6141926708783038E-10</v>
      </c>
      <c r="C298" s="161">
        <v>-6.7582489547283572E-15</v>
      </c>
      <c r="D298" s="161">
        <v>-9.603838660583985E-18</v>
      </c>
      <c r="E298" s="161">
        <v>2.659824237702716E-19</v>
      </c>
      <c r="F298" s="161">
        <v>7.1112948307367235E-18</v>
      </c>
      <c r="G298" s="161">
        <v>5.0249504864327633E-22</v>
      </c>
      <c r="H298" s="161">
        <v>2.1366467841818534E-25</v>
      </c>
      <c r="I298" s="161">
        <v>1.0072988431260935E-15</v>
      </c>
      <c r="J298" s="161">
        <v>-7.5652158894310814E-16</v>
      </c>
      <c r="K298" s="161">
        <v>-6.9533634760970357E-16</v>
      </c>
      <c r="L298" s="161">
        <v>-4.4513748989295062E-16</v>
      </c>
      <c r="M298" s="161">
        <v>-3.2124313047308974E-16</v>
      </c>
      <c r="N298" s="161">
        <v>5.0243420284873559E-17</v>
      </c>
      <c r="O298" s="161">
        <v>-3.291004339208947E-21</v>
      </c>
      <c r="P298" s="161">
        <v>-1.9628833463161824E-20</v>
      </c>
      <c r="Q298" s="161"/>
      <c r="R298" s="161"/>
      <c r="S298" s="161"/>
      <c r="T298" s="161"/>
      <c r="U298" s="161"/>
    </row>
    <row r="299" spans="1:21">
      <c r="A299" s="19"/>
      <c r="B299" s="161">
        <v>-104.34137997509406</v>
      </c>
      <c r="C299" s="161">
        <v>-9.9283278491667996E-4</v>
      </c>
      <c r="D299" s="161">
        <v>-5.4296484524061223E-6</v>
      </c>
      <c r="E299" s="161">
        <v>-4.7894022785979202E-7</v>
      </c>
      <c r="F299" s="161">
        <v>2.5092228413675714E-4</v>
      </c>
      <c r="G299" s="161">
        <v>-6.3933085277014191E-10</v>
      </c>
      <c r="H299" s="161">
        <v>1.0072988431260935E-15</v>
      </c>
      <c r="I299" s="161">
        <v>3.3221510514862534E-3</v>
      </c>
      <c r="J299" s="161">
        <v>1.0654090943895971E-3</v>
      </c>
      <c r="K299" s="161">
        <v>9.8712950764541637E-4</v>
      </c>
      <c r="L299" s="161">
        <v>-3.2206729973368923E-3</v>
      </c>
      <c r="M299" s="161">
        <v>-3.2867236845510422E-3</v>
      </c>
      <c r="N299" s="161">
        <v>8.2251160620477172E-7</v>
      </c>
      <c r="O299" s="161">
        <v>2.2036671677051673E-10</v>
      </c>
      <c r="P299" s="161">
        <v>1.1216962470557851E-10</v>
      </c>
      <c r="Q299" s="161"/>
      <c r="R299" s="161"/>
      <c r="S299" s="161"/>
      <c r="T299" s="161"/>
      <c r="U299" s="161"/>
    </row>
    <row r="300" spans="1:21">
      <c r="A300" s="19"/>
      <c r="B300" s="161">
        <v>63.124995177682131</v>
      </c>
      <c r="C300" s="161">
        <v>-1.0319740765398452E-3</v>
      </c>
      <c r="D300" s="161">
        <v>-5.7770468168489266E-7</v>
      </c>
      <c r="E300" s="161">
        <v>-1.35420174482312E-7</v>
      </c>
      <c r="F300" s="161">
        <v>1.5422440322452463E-4</v>
      </c>
      <c r="G300" s="161">
        <v>-6.5671582676561443E-10</v>
      </c>
      <c r="H300" s="161">
        <v>-7.5652158894310814E-16</v>
      </c>
      <c r="I300" s="161">
        <v>1.0654090943895971E-3</v>
      </c>
      <c r="J300" s="161">
        <v>7.0731465186603159E-3</v>
      </c>
      <c r="K300" s="161">
        <v>1.0199745897579663E-3</v>
      </c>
      <c r="L300" s="161">
        <v>-7.031627107766213E-3</v>
      </c>
      <c r="M300" s="161">
        <v>-1.0460277156778572E-3</v>
      </c>
      <c r="N300" s="161">
        <v>-3.4473841680281325E-7</v>
      </c>
      <c r="O300" s="161">
        <v>2.0137851048532031E-9</v>
      </c>
      <c r="P300" s="161">
        <v>4.899875508969313E-10</v>
      </c>
      <c r="Q300" s="161"/>
      <c r="R300" s="161"/>
      <c r="S300" s="161"/>
      <c r="T300" s="161"/>
      <c r="U300" s="161"/>
    </row>
    <row r="301" spans="1:21">
      <c r="A301" s="19"/>
      <c r="B301" s="161">
        <v>87.252227721570975</v>
      </c>
      <c r="C301" s="161">
        <v>-1.1243274901333669E-3</v>
      </c>
      <c r="D301" s="161">
        <v>-3.6625072760336499E-6</v>
      </c>
      <c r="E301" s="161">
        <v>2.8873808078578849E-7</v>
      </c>
      <c r="F301" s="161">
        <v>-1.1151865886383111E-5</v>
      </c>
      <c r="G301" s="161">
        <v>-4.618597730777577E-10</v>
      </c>
      <c r="H301" s="161">
        <v>-6.9533634760970357E-16</v>
      </c>
      <c r="I301" s="161">
        <v>9.8712950764541637E-4</v>
      </c>
      <c r="J301" s="161">
        <v>1.0199745897579663E-3</v>
      </c>
      <c r="K301" s="161">
        <v>5.0184277000219109E-3</v>
      </c>
      <c r="L301" s="161">
        <v>-1.0591603744336065E-3</v>
      </c>
      <c r="M301" s="161">
        <v>-4.9053528178891435E-3</v>
      </c>
      <c r="N301" s="161">
        <v>4.6784853452629485E-6</v>
      </c>
      <c r="O301" s="161">
        <v>5.3396703266364841E-10</v>
      </c>
      <c r="P301" s="161">
        <v>-4.2020596572162048E-10</v>
      </c>
      <c r="Q301" s="161"/>
      <c r="R301" s="161"/>
      <c r="S301" s="161"/>
      <c r="T301" s="161"/>
      <c r="U301" s="161"/>
    </row>
    <row r="302" spans="1:21">
      <c r="A302" s="19"/>
      <c r="B302" s="161">
        <v>-56.522477349652625</v>
      </c>
      <c r="C302" s="161">
        <v>1.3533497418797256E-3</v>
      </c>
      <c r="D302" s="161">
        <v>1.0467109198483545E-5</v>
      </c>
      <c r="E302" s="161">
        <v>-2.9098848601242608E-7</v>
      </c>
      <c r="F302" s="161">
        <v>-3.3675043389162746E-4</v>
      </c>
      <c r="G302" s="161">
        <v>9.2751407979918486E-10</v>
      </c>
      <c r="H302" s="161">
        <v>-4.4513748989295062E-16</v>
      </c>
      <c r="I302" s="161">
        <v>-3.2206729973368923E-3</v>
      </c>
      <c r="J302" s="161">
        <v>-7.031627107766213E-3</v>
      </c>
      <c r="K302" s="161">
        <v>-1.0591603744336065E-3</v>
      </c>
      <c r="L302" s="161">
        <v>1.2836854099723863E-2</v>
      </c>
      <c r="M302" s="161">
        <v>3.1882917997986785E-3</v>
      </c>
      <c r="N302" s="161">
        <v>-8.3572332509357625E-6</v>
      </c>
      <c r="O302" s="161">
        <v>-4.6992767641520422E-10</v>
      </c>
      <c r="P302" s="161">
        <v>-1.9689344924959924E-10</v>
      </c>
      <c r="Q302" s="161"/>
      <c r="R302" s="161"/>
      <c r="S302" s="161"/>
      <c r="T302" s="161"/>
      <c r="U302" s="161"/>
    </row>
    <row r="303" spans="1:21">
      <c r="A303" s="19"/>
      <c r="B303" s="161">
        <v>18.462451471302508</v>
      </c>
      <c r="C303" s="161">
        <v>7.7505209538550888E-4</v>
      </c>
      <c r="D303" s="161">
        <v>9.0227552001422265E-6</v>
      </c>
      <c r="E303" s="161">
        <v>4.9403339641521255E-7</v>
      </c>
      <c r="F303" s="161">
        <v>8.3155221748439366E-5</v>
      </c>
      <c r="G303" s="161">
        <v>1.0726845158463063E-10</v>
      </c>
      <c r="H303" s="161">
        <v>-3.2124313047308974E-16</v>
      </c>
      <c r="I303" s="161">
        <v>-3.2867236845510422E-3</v>
      </c>
      <c r="J303" s="161">
        <v>-1.0460277156778572E-3</v>
      </c>
      <c r="K303" s="161">
        <v>-4.9053528178891435E-3</v>
      </c>
      <c r="L303" s="161">
        <v>3.1882917997986785E-3</v>
      </c>
      <c r="M303" s="161">
        <v>9.3598109859816363E-3</v>
      </c>
      <c r="N303" s="161">
        <v>-7.7581140019938049E-6</v>
      </c>
      <c r="O303" s="161">
        <v>-3.1396330797266069E-10</v>
      </c>
      <c r="P303" s="161">
        <v>-1.5719018575146667E-9</v>
      </c>
      <c r="Q303" s="161"/>
      <c r="R303" s="161"/>
      <c r="S303" s="161"/>
      <c r="T303" s="161"/>
      <c r="U303" s="161"/>
    </row>
    <row r="304" spans="1:21">
      <c r="A304" s="19"/>
      <c r="B304" s="161">
        <v>-2.2190098722367719</v>
      </c>
      <c r="C304" s="161">
        <v>1.4405968192514684E-6</v>
      </c>
      <c r="D304" s="161">
        <v>-1.6406074625452251E-6</v>
      </c>
      <c r="E304" s="161">
        <v>1.6216425122500159E-9</v>
      </c>
      <c r="F304" s="161">
        <v>-1.4675969510381116E-6</v>
      </c>
      <c r="G304" s="161">
        <v>-8.5398028805755241E-12</v>
      </c>
      <c r="H304" s="161">
        <v>5.0243420284873559E-17</v>
      </c>
      <c r="I304" s="161">
        <v>8.2251160620477172E-7</v>
      </c>
      <c r="J304" s="161">
        <v>-3.4473841680281325E-7</v>
      </c>
      <c r="K304" s="161">
        <v>4.6784853452629485E-6</v>
      </c>
      <c r="L304" s="161">
        <v>-8.3572332509357625E-6</v>
      </c>
      <c r="M304" s="161">
        <v>-7.7581140019938049E-6</v>
      </c>
      <c r="N304" s="161">
        <v>3.285862026618743E-6</v>
      </c>
      <c r="O304" s="161">
        <v>3.020291747783495E-11</v>
      </c>
      <c r="P304" s="161">
        <v>1.9944945830830265E-11</v>
      </c>
      <c r="Q304" s="161"/>
      <c r="R304" s="161"/>
      <c r="S304" s="161"/>
      <c r="T304" s="161"/>
      <c r="U304" s="161"/>
    </row>
    <row r="305" spans="1:21">
      <c r="A305" s="19"/>
      <c r="B305" s="161">
        <v>2.179376647978785E-4</v>
      </c>
      <c r="C305" s="161">
        <v>-5.8239125075940875E-10</v>
      </c>
      <c r="D305" s="161">
        <v>-3.3034651486957302E-11</v>
      </c>
      <c r="E305" s="161">
        <v>7.9802931510219751E-13</v>
      </c>
      <c r="F305" s="161">
        <v>-1.2864794224568826E-10</v>
      </c>
      <c r="G305" s="161">
        <v>-2.3724457019212068E-14</v>
      </c>
      <c r="H305" s="161">
        <v>-3.291004339208947E-21</v>
      </c>
      <c r="I305" s="161">
        <v>2.2036671677051673E-10</v>
      </c>
      <c r="J305" s="161">
        <v>2.0137851048532031E-9</v>
      </c>
      <c r="K305" s="161">
        <v>5.3396703266364841E-10</v>
      </c>
      <c r="L305" s="161">
        <v>-4.6992767641520422E-10</v>
      </c>
      <c r="M305" s="161">
        <v>-3.1396330797266069E-10</v>
      </c>
      <c r="N305" s="161">
        <v>3.020291747783495E-11</v>
      </c>
      <c r="O305" s="161">
        <v>9.4494963345857364E-14</v>
      </c>
      <c r="P305" s="161">
        <v>2.3769585818248869E-14</v>
      </c>
      <c r="Q305" s="161"/>
      <c r="R305" s="161"/>
      <c r="S305" s="161"/>
      <c r="T305" s="161"/>
      <c r="U305" s="161"/>
    </row>
    <row r="306" spans="1:21">
      <c r="A306" s="19"/>
      <c r="B306" s="161">
        <v>3.1238224450953035E-6</v>
      </c>
      <c r="C306" s="161">
        <v>1.9973493288898757E-10</v>
      </c>
      <c r="D306" s="161">
        <v>8.1477640812078198E-13</v>
      </c>
      <c r="E306" s="161">
        <v>-2.5538519231965108E-13</v>
      </c>
      <c r="F306" s="161">
        <v>2.7790894928211435E-10</v>
      </c>
      <c r="G306" s="161">
        <v>-2.3926822928457661E-14</v>
      </c>
      <c r="H306" s="161">
        <v>-1.9628833463161824E-20</v>
      </c>
      <c r="I306" s="161">
        <v>1.1216962470557851E-10</v>
      </c>
      <c r="J306" s="161">
        <v>4.899875508969313E-10</v>
      </c>
      <c r="K306" s="161">
        <v>-4.2020596572162048E-10</v>
      </c>
      <c r="L306" s="161">
        <v>-1.9689344924959924E-10</v>
      </c>
      <c r="M306" s="161">
        <v>-1.5719018575146667E-9</v>
      </c>
      <c r="N306" s="161">
        <v>1.9944945830830265E-11</v>
      </c>
      <c r="O306" s="161">
        <v>2.3769585818248869E-14</v>
      </c>
      <c r="P306" s="161">
        <v>6.4923479568457625E-14</v>
      </c>
      <c r="Q306" s="161"/>
      <c r="R306" s="161"/>
      <c r="S306" s="161"/>
      <c r="T306" s="161"/>
      <c r="U306" s="161"/>
    </row>
    <row r="307" spans="1:21">
      <c r="A307" s="19"/>
      <c r="B307" s="161"/>
      <c r="C307" s="161"/>
      <c r="D307" s="161"/>
      <c r="E307" s="161"/>
      <c r="F307" s="161"/>
      <c r="G307" s="161"/>
      <c r="H307" s="161"/>
      <c r="I307" s="161"/>
      <c r="J307" s="161"/>
      <c r="K307" s="161"/>
      <c r="L307" s="161"/>
      <c r="M307" s="161"/>
      <c r="N307" s="161"/>
      <c r="O307" s="161"/>
      <c r="P307" s="161"/>
      <c r="Q307" s="161"/>
      <c r="R307" s="161"/>
      <c r="S307" s="161"/>
      <c r="T307" s="161"/>
      <c r="U307" s="161"/>
    </row>
    <row r="308" spans="1:21">
      <c r="A308" s="19" t="s">
        <v>118</v>
      </c>
      <c r="B308" s="161" t="s">
        <v>97</v>
      </c>
      <c r="C308" s="147">
        <f t="shared" ref="C308:N308" si="18">IF(C309="B0",$E$2,
IF(C309="agec",$F$2,
IF(C309="agec2",$G$2,
IF(C309="agec3",$H$2,
IF(C309="sexq",$I$2,
IF(C309="tivc",$J$2,
IF(C309="tivc2",$K$2,
IF(C309="tivc3",$L$2,
IF(C309="MFSq",$M$2,
IF(C309="GE",$N$2,
IF(C309="Philips",$O$2,
IF(C309="GE_X_MFSq",$P$2,
IF(C309="Philips_X_MFSq",$Q$2,
IF(C309="tivc_X_MFSq",$R$2,
IF(C309="agec_X_sexq",$S$2,
IF(C309="tivc_X_GE",$T$2,
IF(C309="tivc_X_Philips",$U$2, "Error"
)))))))))))))))))</f>
        <v>1</v>
      </c>
      <c r="D308" s="147">
        <f t="shared" si="18"/>
        <v>-47.563461699999998</v>
      </c>
      <c r="E308" s="147">
        <f t="shared" si="18"/>
        <v>2262.2828888873669</v>
      </c>
      <c r="F308" s="147">
        <f t="shared" si="18"/>
        <v>0</v>
      </c>
      <c r="G308" s="147">
        <f t="shared" si="18"/>
        <v>-1521907.28</v>
      </c>
      <c r="H308" s="147">
        <f t="shared" si="18"/>
        <v>0</v>
      </c>
      <c r="I308" s="147">
        <f t="shared" si="18"/>
        <v>0</v>
      </c>
      <c r="J308" s="147">
        <f t="shared" si="18"/>
        <v>0</v>
      </c>
      <c r="K308" s="147">
        <f t="shared" si="18"/>
        <v>0</v>
      </c>
      <c r="L308" s="147">
        <f t="shared" si="18"/>
        <v>0</v>
      </c>
      <c r="M308" s="147">
        <f t="shared" si="18"/>
        <v>0</v>
      </c>
      <c r="N308" s="147">
        <f t="shared" si="18"/>
        <v>0</v>
      </c>
      <c r="O308" s="161"/>
      <c r="P308" s="161"/>
      <c r="Q308" s="161"/>
      <c r="R308" s="161"/>
      <c r="S308" s="161"/>
      <c r="T308" s="161"/>
      <c r="U308" s="161"/>
    </row>
    <row r="309" spans="1:21">
      <c r="A309" s="19"/>
      <c r="B309" s="161" t="s">
        <v>98</v>
      </c>
      <c r="C309" s="161" t="s">
        <v>42</v>
      </c>
      <c r="D309" s="161" t="s">
        <v>43</v>
      </c>
      <c r="E309" s="161" t="s">
        <v>57</v>
      </c>
      <c r="F309" s="161" t="s">
        <v>69</v>
      </c>
      <c r="G309" s="161" t="s">
        <v>44</v>
      </c>
      <c r="H309" s="161" t="s">
        <v>92</v>
      </c>
      <c r="I309" s="161" t="s">
        <v>1</v>
      </c>
      <c r="J309" s="161" t="s">
        <v>2</v>
      </c>
      <c r="K309" s="161" t="s">
        <v>107</v>
      </c>
      <c r="L309" s="161" t="s">
        <v>95</v>
      </c>
      <c r="M309" s="161" t="s">
        <v>101</v>
      </c>
      <c r="N309" s="161" t="s">
        <v>102</v>
      </c>
      <c r="O309" s="161"/>
      <c r="P309" s="161"/>
      <c r="Q309" s="161"/>
      <c r="R309" s="161"/>
      <c r="S309" s="161"/>
      <c r="T309" s="161"/>
      <c r="U309" s="161"/>
    </row>
    <row r="310" spans="1:21">
      <c r="A310" s="19"/>
      <c r="B310" s="161">
        <v>4.2583017177539633</v>
      </c>
      <c r="C310" s="161">
        <v>2.3080343619261072E-3</v>
      </c>
      <c r="D310" s="161">
        <v>3.3677929576540466E-6</v>
      </c>
      <c r="E310" s="161">
        <v>-1.646213461531413E-6</v>
      </c>
      <c r="F310" s="161">
        <v>-1.2624639093063367E-3</v>
      </c>
      <c r="G310" s="161">
        <v>2.7361887140860117E-9</v>
      </c>
      <c r="H310" s="161">
        <v>-4.9951941744653505E-4</v>
      </c>
      <c r="I310" s="161">
        <v>-3.575351461374502E-4</v>
      </c>
      <c r="J310" s="161">
        <v>-8.0395239768096393E-4</v>
      </c>
      <c r="K310" s="161">
        <v>9.5739156850309333E-12</v>
      </c>
      <c r="L310" s="161">
        <v>4.1210971133466688E-6</v>
      </c>
      <c r="M310" s="161">
        <v>-6.0043366638635032E-10</v>
      </c>
      <c r="N310" s="161">
        <v>-3.0387837317049371E-10</v>
      </c>
      <c r="O310" s="161"/>
      <c r="P310" s="161"/>
      <c r="Q310" s="161"/>
      <c r="R310" s="161"/>
      <c r="S310" s="161"/>
      <c r="T310" s="161"/>
      <c r="U310" s="161"/>
    </row>
    <row r="311" spans="1:21">
      <c r="A311" s="19"/>
      <c r="B311" s="161">
        <v>6.5403748010966324E-3</v>
      </c>
      <c r="C311" s="161">
        <v>3.3677929576540466E-6</v>
      </c>
      <c r="D311" s="161">
        <v>1.6867521054619463E-6</v>
      </c>
      <c r="E311" s="161">
        <v>-1.2129053419421284E-8</v>
      </c>
      <c r="F311" s="161">
        <v>7.2997976328161777E-7</v>
      </c>
      <c r="G311" s="161">
        <v>1.3343225162285676E-11</v>
      </c>
      <c r="H311" s="161">
        <v>-9.474529316340937E-7</v>
      </c>
      <c r="I311" s="161">
        <v>4.5951610839710293E-6</v>
      </c>
      <c r="J311" s="161">
        <v>7.4068681888321311E-7</v>
      </c>
      <c r="K311" s="161">
        <v>7.5205547948700704E-12</v>
      </c>
      <c r="L311" s="161">
        <v>-1.6400739288294221E-6</v>
      </c>
      <c r="M311" s="161">
        <v>-3.5158791538849004E-11</v>
      </c>
      <c r="N311" s="161">
        <v>-2.7355417528800588E-12</v>
      </c>
      <c r="O311" s="161"/>
      <c r="P311" s="161"/>
      <c r="Q311" s="161"/>
      <c r="R311" s="161"/>
      <c r="S311" s="161"/>
      <c r="T311" s="161"/>
      <c r="U311" s="161"/>
    </row>
    <row r="312" spans="1:21" s="164" customFormat="1">
      <c r="A312" s="19"/>
      <c r="B312" s="161">
        <v>1.0687623598905851E-4</v>
      </c>
      <c r="C312" s="161">
        <v>-1.646213461531413E-6</v>
      </c>
      <c r="D312" s="161">
        <v>-1.2129053419421284E-8</v>
      </c>
      <c r="E312" s="161">
        <v>3.6522877267654099E-9</v>
      </c>
      <c r="F312" s="161">
        <v>1.5750737630934618E-8</v>
      </c>
      <c r="G312" s="161">
        <v>-7.8838753828639666E-13</v>
      </c>
      <c r="H312" s="161">
        <v>-3.8680682219439885E-7</v>
      </c>
      <c r="I312" s="161">
        <v>-3.3860621935019061E-7</v>
      </c>
      <c r="J312" s="161">
        <v>5.750597908237488E-7</v>
      </c>
      <c r="K312" s="161">
        <v>4.4178222385034126E-13</v>
      </c>
      <c r="L312" s="161">
        <v>1.4742299998128069E-9</v>
      </c>
      <c r="M312" s="161">
        <v>6.8810034063432614E-13</v>
      </c>
      <c r="N312" s="161">
        <v>-3.340527107355483E-13</v>
      </c>
      <c r="O312" s="19"/>
      <c r="P312" s="19"/>
      <c r="Q312" s="19"/>
      <c r="R312" s="19"/>
      <c r="S312" s="19"/>
      <c r="T312" s="19"/>
      <c r="U312" s="19"/>
    </row>
    <row r="313" spans="1:21">
      <c r="A313" s="19"/>
      <c r="B313" s="161">
        <v>1.0304333620860497E-2</v>
      </c>
      <c r="C313" s="161">
        <v>-1.2624639093063367E-3</v>
      </c>
      <c r="D313" s="161">
        <v>7.2997976328161777E-7</v>
      </c>
      <c r="E313" s="161">
        <v>1.5750737630934618E-8</v>
      </c>
      <c r="F313" s="161">
        <v>2.3042524595037975E-3</v>
      </c>
      <c r="G313" s="161">
        <v>-3.6863745587148376E-9</v>
      </c>
      <c r="H313" s="161">
        <v>2.1331368686399623E-4</v>
      </c>
      <c r="I313" s="161">
        <v>-4.697439681244962E-5</v>
      </c>
      <c r="J313" s="161">
        <v>5.4411548437845524E-5</v>
      </c>
      <c r="K313" s="161">
        <v>-5.7614040194247615E-10</v>
      </c>
      <c r="L313" s="161">
        <v>-1.1391389178271843E-6</v>
      </c>
      <c r="M313" s="161">
        <v>2.6735215735016756E-11</v>
      </c>
      <c r="N313" s="161">
        <v>5.5438944133031443E-10</v>
      </c>
      <c r="O313" s="161"/>
      <c r="P313" s="161"/>
      <c r="Q313" s="161"/>
      <c r="R313" s="161"/>
      <c r="S313" s="161"/>
      <c r="T313" s="161"/>
      <c r="U313" s="161"/>
    </row>
    <row r="314" spans="1:21">
      <c r="A314" s="19"/>
      <c r="B314" s="161">
        <v>4.956864441486739E-7</v>
      </c>
      <c r="C314" s="161">
        <v>2.7361887140860117E-9</v>
      </c>
      <c r="D314" s="161">
        <v>1.3343225162285676E-11</v>
      </c>
      <c r="E314" s="161">
        <v>-7.8838753828639666E-13</v>
      </c>
      <c r="F314" s="161">
        <v>-3.6863745587148376E-9</v>
      </c>
      <c r="G314" s="161">
        <v>3.4640774884000444E-14</v>
      </c>
      <c r="H314" s="161">
        <v>-4.1111407168341432E-10</v>
      </c>
      <c r="I314" s="161">
        <v>-1.4218261825770162E-10</v>
      </c>
      <c r="J314" s="161">
        <v>-3.3869315428457225E-10</v>
      </c>
      <c r="K314" s="161">
        <v>-1.4945223727637537E-14</v>
      </c>
      <c r="L314" s="161">
        <v>-9.800078068207188E-13</v>
      </c>
      <c r="M314" s="161">
        <v>-1.9473785176109582E-14</v>
      </c>
      <c r="N314" s="161">
        <v>-1.8933071042281008E-14</v>
      </c>
      <c r="O314" s="161"/>
      <c r="P314" s="161"/>
      <c r="Q314" s="161"/>
      <c r="R314" s="161"/>
      <c r="S314" s="161"/>
      <c r="T314" s="161"/>
      <c r="U314" s="161"/>
    </row>
    <row r="315" spans="1:21">
      <c r="A315" s="19"/>
      <c r="B315" s="161">
        <v>-1.2318490182835015E-4</v>
      </c>
      <c r="C315" s="161">
        <v>-4.9951941744653505E-4</v>
      </c>
      <c r="D315" s="161">
        <v>-9.474529316340937E-7</v>
      </c>
      <c r="E315" s="161">
        <v>-3.8680682219439885E-7</v>
      </c>
      <c r="F315" s="161">
        <v>2.1331368686399623E-4</v>
      </c>
      <c r="G315" s="161">
        <v>-4.1111407168341432E-10</v>
      </c>
      <c r="H315" s="161">
        <v>1.7930447271293311E-3</v>
      </c>
      <c r="I315" s="161">
        <v>-4.9583137361176844E-4</v>
      </c>
      <c r="J315" s="161">
        <v>-6.2787366882370121E-4</v>
      </c>
      <c r="K315" s="161">
        <v>-1.0191950274893992E-10</v>
      </c>
      <c r="L315" s="161">
        <v>-3.2379449596585542E-6</v>
      </c>
      <c r="M315" s="161">
        <v>5.309413490241043E-11</v>
      </c>
      <c r="N315" s="161">
        <v>-2.6001700536536944E-10</v>
      </c>
      <c r="O315" s="161"/>
      <c r="P315" s="161"/>
      <c r="Q315" s="161"/>
      <c r="R315" s="161"/>
      <c r="S315" s="161"/>
      <c r="T315" s="161"/>
      <c r="U315" s="161"/>
    </row>
    <row r="316" spans="1:21">
      <c r="A316" s="19"/>
      <c r="B316" s="161">
        <v>5.6574467072448443E-3</v>
      </c>
      <c r="C316" s="161">
        <v>-3.575351461374502E-4</v>
      </c>
      <c r="D316" s="161">
        <v>4.5951610839710293E-6</v>
      </c>
      <c r="E316" s="161">
        <v>-3.3860621935019061E-7</v>
      </c>
      <c r="F316" s="161">
        <v>-4.697439681244962E-5</v>
      </c>
      <c r="G316" s="161">
        <v>-1.4218261825770162E-10</v>
      </c>
      <c r="H316" s="161">
        <v>-4.9583137361176844E-4</v>
      </c>
      <c r="I316" s="161">
        <v>3.1493814710109361E-3</v>
      </c>
      <c r="J316" s="161">
        <v>8.1839003926142788E-4</v>
      </c>
      <c r="K316" s="161">
        <v>1.0451119182571157E-10</v>
      </c>
      <c r="L316" s="161">
        <v>-4.4747218114082743E-6</v>
      </c>
      <c r="M316" s="161">
        <v>1.7231844663149769E-9</v>
      </c>
      <c r="N316" s="161">
        <v>3.549834682063871E-10</v>
      </c>
      <c r="O316" s="161"/>
      <c r="P316" s="161"/>
      <c r="Q316" s="161"/>
      <c r="R316" s="161"/>
      <c r="S316" s="161"/>
      <c r="T316" s="161"/>
      <c r="U316" s="161"/>
    </row>
    <row r="317" spans="1:21">
      <c r="A317" s="19"/>
      <c r="B317" s="161">
        <v>-3.6906353460370085E-2</v>
      </c>
      <c r="C317" s="161">
        <v>-8.0395239768096393E-4</v>
      </c>
      <c r="D317" s="161">
        <v>7.4068681888321311E-7</v>
      </c>
      <c r="E317" s="161">
        <v>5.750597908237488E-7</v>
      </c>
      <c r="F317" s="161">
        <v>5.4411548437845524E-5</v>
      </c>
      <c r="G317" s="161">
        <v>-3.3869315428457225E-10</v>
      </c>
      <c r="H317" s="161">
        <v>-6.2787366882370121E-4</v>
      </c>
      <c r="I317" s="161">
        <v>8.1839003926142788E-4</v>
      </c>
      <c r="J317" s="161">
        <v>2.423899681633352E-3</v>
      </c>
      <c r="K317" s="161">
        <v>-3.3806617640442511E-10</v>
      </c>
      <c r="L317" s="161">
        <v>1.3139208195175933E-6</v>
      </c>
      <c r="M317" s="161">
        <v>4.7180572977923868E-10</v>
      </c>
      <c r="N317" s="161">
        <v>-1.2517532429162127E-9</v>
      </c>
      <c r="O317" s="161"/>
      <c r="P317" s="161"/>
      <c r="Q317" s="161"/>
      <c r="R317" s="161"/>
      <c r="S317" s="161"/>
      <c r="T317" s="161"/>
      <c r="U317" s="161"/>
    </row>
    <row r="318" spans="1:21">
      <c r="A318" s="19"/>
      <c r="B318" s="161">
        <v>7.385395030890001E-8</v>
      </c>
      <c r="C318" s="161">
        <v>9.5739156850309333E-12</v>
      </c>
      <c r="D318" s="161">
        <v>7.5205547948700704E-12</v>
      </c>
      <c r="E318" s="161">
        <v>4.4178222385034126E-13</v>
      </c>
      <c r="F318" s="161">
        <v>-5.7614040194247615E-10</v>
      </c>
      <c r="G318" s="161">
        <v>-1.4945223727637537E-14</v>
      </c>
      <c r="H318" s="161">
        <v>-1.0191950274893992E-10</v>
      </c>
      <c r="I318" s="161">
        <v>1.0451119182571157E-10</v>
      </c>
      <c r="J318" s="161">
        <v>-3.3806617640442511E-10</v>
      </c>
      <c r="K318" s="161">
        <v>5.5727054041106608E-14</v>
      </c>
      <c r="L318" s="161">
        <v>-2.7310502623679699E-11</v>
      </c>
      <c r="M318" s="161">
        <v>-1.7310737329015131E-14</v>
      </c>
      <c r="N318" s="161">
        <v>-2.0479032630394788E-14</v>
      </c>
      <c r="O318" s="161"/>
      <c r="P318" s="161"/>
      <c r="Q318" s="161"/>
      <c r="R318" s="161"/>
      <c r="S318" s="161"/>
      <c r="T318" s="161"/>
      <c r="U318" s="161"/>
    </row>
    <row r="319" spans="1:21">
      <c r="A319" s="19"/>
      <c r="B319" s="161">
        <v>1.1065217070113551E-3</v>
      </c>
      <c r="C319" s="161">
        <v>4.1210971133466688E-6</v>
      </c>
      <c r="D319" s="161">
        <v>-1.6400739288294221E-6</v>
      </c>
      <c r="E319" s="161">
        <v>1.4742299998128069E-9</v>
      </c>
      <c r="F319" s="161">
        <v>-1.1391389178271843E-6</v>
      </c>
      <c r="G319" s="161">
        <v>-9.800078068207188E-13</v>
      </c>
      <c r="H319" s="161">
        <v>-3.2379449596585542E-6</v>
      </c>
      <c r="I319" s="161">
        <v>-4.4747218114082743E-6</v>
      </c>
      <c r="J319" s="161">
        <v>1.3139208195175933E-6</v>
      </c>
      <c r="K319" s="161">
        <v>-2.7310502623679699E-11</v>
      </c>
      <c r="L319" s="161">
        <v>3.2868207443775602E-6</v>
      </c>
      <c r="M319" s="161">
        <v>3.8964677201831403E-11</v>
      </c>
      <c r="N319" s="161">
        <v>3.4702037260847432E-11</v>
      </c>
      <c r="O319" s="161"/>
      <c r="P319" s="161"/>
      <c r="Q319" s="161"/>
      <c r="R319" s="161"/>
      <c r="S319" s="161"/>
      <c r="T319" s="161"/>
      <c r="U319" s="161"/>
    </row>
    <row r="320" spans="1:21">
      <c r="A320" s="19"/>
      <c r="B320" s="161">
        <v>-7.5826917123478158E-8</v>
      </c>
      <c r="C320" s="161">
        <v>-6.0043366638635032E-10</v>
      </c>
      <c r="D320" s="161">
        <v>-3.5158791538849004E-11</v>
      </c>
      <c r="E320" s="161">
        <v>6.8810034063432614E-13</v>
      </c>
      <c r="F320" s="161">
        <v>2.6735215735016756E-11</v>
      </c>
      <c r="G320" s="161">
        <v>-1.9473785176109582E-14</v>
      </c>
      <c r="H320" s="161">
        <v>5.309413490241043E-11</v>
      </c>
      <c r="I320" s="161">
        <v>1.7231844663149769E-9</v>
      </c>
      <c r="J320" s="161">
        <v>4.7180572977923868E-10</v>
      </c>
      <c r="K320" s="161">
        <v>-1.7310737329015131E-14</v>
      </c>
      <c r="L320" s="161">
        <v>3.8964677201831403E-11</v>
      </c>
      <c r="M320" s="161">
        <v>1.0071998396830676E-13</v>
      </c>
      <c r="N320" s="161">
        <v>3.0257829904976019E-14</v>
      </c>
      <c r="O320" s="161"/>
      <c r="P320" s="161"/>
      <c r="Q320" s="161"/>
      <c r="R320" s="161"/>
      <c r="S320" s="161"/>
      <c r="T320" s="161"/>
      <c r="U320" s="161"/>
    </row>
    <row r="321" spans="1:21">
      <c r="A321" s="19"/>
      <c r="B321" s="161">
        <v>-1.0190573609078324E-7</v>
      </c>
      <c r="C321" s="161">
        <v>-3.0387837317049371E-10</v>
      </c>
      <c r="D321" s="161">
        <v>-2.7355417528800588E-12</v>
      </c>
      <c r="E321" s="161">
        <v>-3.340527107355483E-13</v>
      </c>
      <c r="F321" s="161">
        <v>5.5438944133031443E-10</v>
      </c>
      <c r="G321" s="161">
        <v>-1.8933071042281008E-14</v>
      </c>
      <c r="H321" s="161">
        <v>-2.6001700536536944E-10</v>
      </c>
      <c r="I321" s="161">
        <v>3.549834682063871E-10</v>
      </c>
      <c r="J321" s="161">
        <v>-1.2517532429162127E-9</v>
      </c>
      <c r="K321" s="161">
        <v>-2.0479032630394788E-14</v>
      </c>
      <c r="L321" s="161">
        <v>3.4702037260847432E-11</v>
      </c>
      <c r="M321" s="161">
        <v>3.0257829904976019E-14</v>
      </c>
      <c r="N321" s="161">
        <v>7.097533714492987E-14</v>
      </c>
      <c r="O321" s="161"/>
      <c r="P321" s="161"/>
      <c r="Q321" s="161"/>
      <c r="R321" s="161"/>
      <c r="S321" s="161"/>
      <c r="T321" s="161"/>
      <c r="U321" s="161"/>
    </row>
    <row r="322" spans="1:21">
      <c r="A322" s="19"/>
      <c r="B322" s="161"/>
      <c r="C322" s="161"/>
      <c r="D322" s="161"/>
      <c r="E322" s="161"/>
      <c r="F322" s="161"/>
      <c r="G322" s="161"/>
      <c r="H322" s="161"/>
      <c r="I322" s="161"/>
      <c r="J322" s="161"/>
      <c r="K322" s="161"/>
      <c r="L322" s="161"/>
      <c r="M322" s="161"/>
      <c r="N322" s="161"/>
      <c r="O322" s="161"/>
      <c r="P322" s="161"/>
      <c r="Q322" s="161"/>
      <c r="R322" s="161"/>
      <c r="S322" s="161"/>
      <c r="T322" s="161"/>
      <c r="U322" s="161"/>
    </row>
    <row r="323" spans="1:21">
      <c r="A323" s="19" t="s">
        <v>119</v>
      </c>
      <c r="B323" s="161" t="s">
        <v>97</v>
      </c>
      <c r="C323" s="147">
        <f t="shared" ref="C323:L323" si="19">IF(C324="B0",$E$2,
IF(C324="agec",$F$2,
IF(C324="agec2",$G$2,
IF(C324="agec3",$H$2,
IF(C324="sexq",$I$2,
IF(C324="tivc",$J$2,
IF(C324="tivc2",$K$2,
IF(C324="tivc3",$L$2,
IF(C324="MFSq",$M$2,
IF(C324="GE",$N$2,
IF(C324="Philips",$O$2,
IF(C324="GE_X_MFSq",$P$2,
IF(C324="Philips_X_MFSq",$Q$2,
IF(C324="tivc_X_MFSq",$R$2,
IF(C324="agec_X_sexq",$S$2,
IF(C324="tivc_X_GE",$T$2,
IF(C324="tivc_X_Philips",$U$2, "Error"
)))))))))))))))))</f>
        <v>1</v>
      </c>
      <c r="D323" s="147">
        <f t="shared" si="19"/>
        <v>-47.563461699999998</v>
      </c>
      <c r="E323" s="147">
        <f t="shared" si="19"/>
        <v>2262.2828888873669</v>
      </c>
      <c r="F323" s="147">
        <f t="shared" si="19"/>
        <v>0</v>
      </c>
      <c r="G323" s="147">
        <f t="shared" si="19"/>
        <v>-1521907.28</v>
      </c>
      <c r="H323" s="147">
        <f t="shared" si="19"/>
        <v>0</v>
      </c>
      <c r="I323" s="147">
        <f t="shared" si="19"/>
        <v>0</v>
      </c>
      <c r="J323" s="147">
        <f t="shared" si="19"/>
        <v>0</v>
      </c>
      <c r="K323" s="147">
        <f t="shared" si="19"/>
        <v>0</v>
      </c>
      <c r="L323" s="147">
        <f t="shared" si="19"/>
        <v>0</v>
      </c>
      <c r="M323" s="161"/>
      <c r="N323" s="161"/>
      <c r="O323" s="161"/>
      <c r="P323" s="161"/>
      <c r="Q323" s="161"/>
      <c r="R323" s="161"/>
      <c r="S323" s="161"/>
      <c r="T323" s="161"/>
      <c r="U323" s="161"/>
    </row>
    <row r="324" spans="1:21">
      <c r="A324" s="19"/>
      <c r="B324" s="161" t="s">
        <v>98</v>
      </c>
      <c r="C324" s="161" t="s">
        <v>42</v>
      </c>
      <c r="D324" s="161" t="s">
        <v>43</v>
      </c>
      <c r="E324" s="161" t="s">
        <v>57</v>
      </c>
      <c r="F324" s="161" t="s">
        <v>69</v>
      </c>
      <c r="G324" s="161" t="s">
        <v>44</v>
      </c>
      <c r="H324" s="161" t="s">
        <v>1</v>
      </c>
      <c r="I324" s="161" t="s">
        <v>2</v>
      </c>
      <c r="J324" s="161" t="s">
        <v>95</v>
      </c>
      <c r="K324" s="161" t="s">
        <v>101</v>
      </c>
      <c r="L324" s="161" t="s">
        <v>102</v>
      </c>
      <c r="M324" s="161"/>
      <c r="N324" s="161"/>
      <c r="O324" s="161"/>
      <c r="P324" s="161"/>
      <c r="Q324" s="161"/>
      <c r="R324" s="161"/>
      <c r="S324" s="161"/>
      <c r="T324" s="161"/>
      <c r="U324" s="161"/>
    </row>
    <row r="325" spans="1:21">
      <c r="A325" s="19"/>
      <c r="B325" s="161">
        <v>3.8899784429207496</v>
      </c>
      <c r="C325" s="161">
        <v>2.1671726416708083E-3</v>
      </c>
      <c r="D325" s="161">
        <v>3.111613672055363E-6</v>
      </c>
      <c r="E325" s="161">
        <v>-1.7493683525510306E-6</v>
      </c>
      <c r="F325" s="161">
        <v>-1.2043653645588204E-3</v>
      </c>
      <c r="G325" s="161">
        <v>2.6250011155410068E-9</v>
      </c>
      <c r="H325" s="161">
        <v>-4.9910878154218877E-4</v>
      </c>
      <c r="I325" s="161">
        <v>-9.7826205188348745E-4</v>
      </c>
      <c r="J325" s="161">
        <v>3.1888682554540654E-6</v>
      </c>
      <c r="K325" s="161">
        <v>-6.1572568543953753E-10</v>
      </c>
      <c r="L325" s="161">
        <v>-3.9201282446152062E-10</v>
      </c>
      <c r="M325" s="162"/>
      <c r="N325" s="161"/>
      <c r="O325" s="161"/>
      <c r="P325" s="161"/>
      <c r="Q325" s="161"/>
      <c r="R325" s="161"/>
      <c r="S325" s="161"/>
      <c r="T325" s="161"/>
      <c r="U325" s="161"/>
    </row>
    <row r="326" spans="1:21">
      <c r="A326" s="19"/>
      <c r="B326" s="161">
        <v>7.410750275265862E-3</v>
      </c>
      <c r="C326" s="161">
        <v>3.111613672055363E-6</v>
      </c>
      <c r="D326" s="161">
        <v>1.6805880884174875E-6</v>
      </c>
      <c r="E326" s="161">
        <v>-1.2471460946622433E-8</v>
      </c>
      <c r="F326" s="161">
        <v>9.8191871251200556E-7</v>
      </c>
      <c r="G326" s="161">
        <v>1.4515213191840758E-11</v>
      </c>
      <c r="H326" s="161">
        <v>4.3131513091296561E-6</v>
      </c>
      <c r="I326" s="161">
        <v>4.2637331017890878E-7</v>
      </c>
      <c r="J326" s="161">
        <v>-1.633095961584357E-6</v>
      </c>
      <c r="K326" s="161">
        <v>-3.2370847254276689E-11</v>
      </c>
      <c r="L326" s="161">
        <v>6.3474278882661108E-13</v>
      </c>
      <c r="M326" s="161"/>
      <c r="N326" s="161"/>
      <c r="O326" s="161"/>
      <c r="P326" s="161"/>
      <c r="Q326" s="161"/>
      <c r="R326" s="161"/>
      <c r="S326" s="161"/>
      <c r="T326" s="161"/>
      <c r="U326" s="161"/>
    </row>
    <row r="327" spans="1:21" s="164" customFormat="1">
      <c r="A327" s="19"/>
      <c r="B327" s="161">
        <v>9.6031805913408033E-5</v>
      </c>
      <c r="C327" s="161">
        <v>-1.7493683525510306E-6</v>
      </c>
      <c r="D327" s="161">
        <v>-1.2471460946622433E-8</v>
      </c>
      <c r="E327" s="161">
        <v>3.5490812372528687E-9</v>
      </c>
      <c r="F327" s="161">
        <v>7.0384704307983631E-8</v>
      </c>
      <c r="G327" s="161">
        <v>-7.7360142894884773E-13</v>
      </c>
      <c r="H327" s="161">
        <v>-4.341200893331437E-7</v>
      </c>
      <c r="I327" s="161">
        <v>4.4319540722962842E-7</v>
      </c>
      <c r="J327" s="161">
        <v>1.0985064055610832E-9</v>
      </c>
      <c r="K327" s="161">
        <v>8.7908822547227745E-13</v>
      </c>
      <c r="L327" s="161">
        <v>-2.4173368807521766E-13</v>
      </c>
      <c r="M327" s="19"/>
      <c r="N327" s="19"/>
      <c r="O327" s="19"/>
      <c r="P327" s="19"/>
      <c r="Q327" s="19"/>
      <c r="R327" s="19"/>
      <c r="S327" s="19"/>
      <c r="T327" s="19"/>
      <c r="U327" s="19"/>
    </row>
    <row r="328" spans="1:21">
      <c r="A328" s="19"/>
      <c r="B328" s="161">
        <v>-3.5966331443092374E-3</v>
      </c>
      <c r="C328" s="161">
        <v>-1.2043653645588204E-3</v>
      </c>
      <c r="D328" s="161">
        <v>9.8191871251200556E-7</v>
      </c>
      <c r="E328" s="161">
        <v>7.0384704307983631E-8</v>
      </c>
      <c r="F328" s="161">
        <v>2.2704279523425054E-3</v>
      </c>
      <c r="G328" s="161">
        <v>-3.7661034734815395E-9</v>
      </c>
      <c r="H328" s="161">
        <v>1.0453272828544045E-5</v>
      </c>
      <c r="I328" s="161">
        <v>1.2482349053192842E-4</v>
      </c>
      <c r="J328" s="161">
        <v>-1.0881786573631001E-6</v>
      </c>
      <c r="K328" s="161">
        <v>-1.8292214561684587E-10</v>
      </c>
      <c r="L328" s="161">
        <v>3.7109618073596579E-10</v>
      </c>
      <c r="M328" s="161"/>
      <c r="N328" s="161"/>
      <c r="O328" s="161"/>
      <c r="P328" s="161"/>
      <c r="Q328" s="161"/>
      <c r="R328" s="161"/>
      <c r="S328" s="161"/>
      <c r="T328" s="161"/>
      <c r="U328" s="161"/>
    </row>
    <row r="329" spans="1:21">
      <c r="A329" s="19"/>
      <c r="B329" s="161">
        <v>5.7916191687205887E-7</v>
      </c>
      <c r="C329" s="161">
        <v>2.6250011155410068E-9</v>
      </c>
      <c r="D329" s="161">
        <v>1.4515213191840758E-11</v>
      </c>
      <c r="E329" s="161">
        <v>-7.7360142894884773E-13</v>
      </c>
      <c r="F329" s="161">
        <v>-3.7661034734815395E-9</v>
      </c>
      <c r="G329" s="161">
        <v>3.0145992354692012E-14</v>
      </c>
      <c r="H329" s="161">
        <v>-2.4758703077399928E-10</v>
      </c>
      <c r="I329" s="161">
        <v>-5.9678769002189135E-10</v>
      </c>
      <c r="J329" s="161">
        <v>-8.5251999485675122E-12</v>
      </c>
      <c r="K329" s="161">
        <v>-2.3758051603129476E-14</v>
      </c>
      <c r="L329" s="161">
        <v>-2.417326644869743E-14</v>
      </c>
      <c r="M329" s="161"/>
      <c r="N329" s="161"/>
      <c r="O329" s="161"/>
      <c r="P329" s="161"/>
      <c r="Q329" s="161"/>
      <c r="R329" s="161"/>
      <c r="S329" s="161"/>
      <c r="T329" s="161"/>
      <c r="U329" s="161"/>
    </row>
    <row r="330" spans="1:21">
      <c r="A330" s="19"/>
      <c r="B330" s="161">
        <v>6.4239278412136546E-3</v>
      </c>
      <c r="C330" s="161">
        <v>-4.9910878154218877E-4</v>
      </c>
      <c r="D330" s="161">
        <v>4.3131513091296561E-6</v>
      </c>
      <c r="E330" s="161">
        <v>-4.341200893331437E-7</v>
      </c>
      <c r="F330" s="161">
        <v>1.0453272828544045E-5</v>
      </c>
      <c r="G330" s="161">
        <v>-2.4758703077399928E-10</v>
      </c>
      <c r="H330" s="161">
        <v>2.9959126813553743E-3</v>
      </c>
      <c r="I330" s="161">
        <v>6.4529980135918528E-4</v>
      </c>
      <c r="J330" s="161">
        <v>-5.3313444087654038E-6</v>
      </c>
      <c r="K330" s="161">
        <v>1.7071733273724028E-9</v>
      </c>
      <c r="L330" s="161">
        <v>3.267598330654634E-10</v>
      </c>
      <c r="M330" s="161"/>
      <c r="N330" s="161"/>
      <c r="O330" s="161"/>
      <c r="P330" s="161"/>
      <c r="Q330" s="161"/>
      <c r="R330" s="161"/>
      <c r="S330" s="161"/>
      <c r="T330" s="161"/>
      <c r="U330" s="161"/>
    </row>
    <row r="331" spans="1:21">
      <c r="A331" s="19"/>
      <c r="B331" s="161">
        <v>-4.4901686294761045E-2</v>
      </c>
      <c r="C331" s="161">
        <v>-9.7826205188348745E-4</v>
      </c>
      <c r="D331" s="161">
        <v>4.2637331017890878E-7</v>
      </c>
      <c r="E331" s="161">
        <v>4.4319540722962842E-7</v>
      </c>
      <c r="F331" s="161">
        <v>1.2482349053192842E-4</v>
      </c>
      <c r="G331" s="161">
        <v>-5.9678769002189135E-10</v>
      </c>
      <c r="H331" s="161">
        <v>6.4529980135918528E-4</v>
      </c>
      <c r="I331" s="161">
        <v>2.1955906666398296E-3</v>
      </c>
      <c r="J331" s="161">
        <v>4.6580265923413501E-8</v>
      </c>
      <c r="K331" s="161">
        <v>3.9470611748050583E-10</v>
      </c>
      <c r="L331" s="161">
        <v>-1.4192872856187815E-9</v>
      </c>
      <c r="M331" s="161"/>
      <c r="N331" s="161"/>
      <c r="O331" s="161"/>
      <c r="P331" s="161"/>
      <c r="Q331" s="161"/>
      <c r="R331" s="161"/>
      <c r="S331" s="161"/>
      <c r="T331" s="161"/>
      <c r="U331" s="161"/>
    </row>
    <row r="332" spans="1:21">
      <c r="A332" s="19"/>
      <c r="B332" s="161">
        <v>1.4638531418108623E-3</v>
      </c>
      <c r="C332" s="161">
        <v>3.1888682554540654E-6</v>
      </c>
      <c r="D332" s="161">
        <v>-1.633095961584357E-6</v>
      </c>
      <c r="E332" s="161">
        <v>1.0985064055610832E-9</v>
      </c>
      <c r="F332" s="161">
        <v>-1.0881786573631001E-6</v>
      </c>
      <c r="G332" s="161">
        <v>-8.5251999485675122E-12</v>
      </c>
      <c r="H332" s="161">
        <v>-5.3313444087654038E-6</v>
      </c>
      <c r="I332" s="161">
        <v>4.6580265923413501E-8</v>
      </c>
      <c r="J332" s="161">
        <v>3.2613330876770604E-6</v>
      </c>
      <c r="K332" s="161">
        <v>2.9966422389471778E-11</v>
      </c>
      <c r="L332" s="161">
        <v>2.3190849590814607E-11</v>
      </c>
      <c r="M332" s="161"/>
      <c r="N332" s="161"/>
      <c r="O332" s="161"/>
      <c r="P332" s="161"/>
      <c r="Q332" s="161"/>
      <c r="R332" s="161"/>
      <c r="S332" s="161"/>
      <c r="T332" s="161"/>
      <c r="U332" s="161"/>
    </row>
    <row r="333" spans="1:21">
      <c r="A333" s="19"/>
      <c r="B333" s="161">
        <v>-6.7363832593558516E-8</v>
      </c>
      <c r="C333" s="161">
        <v>-6.1572568543953753E-10</v>
      </c>
      <c r="D333" s="161">
        <v>-3.2370847254276689E-11</v>
      </c>
      <c r="E333" s="161">
        <v>8.7908822547227745E-13</v>
      </c>
      <c r="F333" s="161">
        <v>-1.8292214561684587E-10</v>
      </c>
      <c r="G333" s="161">
        <v>-2.3758051603129476E-14</v>
      </c>
      <c r="H333" s="161">
        <v>1.7071733273724028E-9</v>
      </c>
      <c r="I333" s="161">
        <v>3.9470611748050583E-10</v>
      </c>
      <c r="J333" s="161">
        <v>2.9966422389471778E-11</v>
      </c>
      <c r="K333" s="161">
        <v>9.467651281640417E-14</v>
      </c>
      <c r="L333" s="161">
        <v>2.3574491966541594E-14</v>
      </c>
      <c r="M333" s="161"/>
      <c r="N333" s="161"/>
      <c r="O333" s="161"/>
      <c r="P333" s="161"/>
      <c r="Q333" s="161"/>
      <c r="R333" s="161"/>
      <c r="S333" s="161"/>
      <c r="T333" s="161"/>
      <c r="U333" s="161"/>
    </row>
    <row r="334" spans="1:21">
      <c r="A334" s="19"/>
      <c r="B334" s="161">
        <v>-6.8869119694015983E-8</v>
      </c>
      <c r="C334" s="161">
        <v>-3.9201282446152062E-10</v>
      </c>
      <c r="D334" s="161">
        <v>6.3474278882661108E-13</v>
      </c>
      <c r="E334" s="161">
        <v>-2.4173368807521766E-13</v>
      </c>
      <c r="F334" s="161">
        <v>3.7109618073596579E-10</v>
      </c>
      <c r="G334" s="161">
        <v>-2.417326644869743E-14</v>
      </c>
      <c r="H334" s="161">
        <v>3.267598330654634E-10</v>
      </c>
      <c r="I334" s="161">
        <v>-1.4192872856187815E-9</v>
      </c>
      <c r="J334" s="161">
        <v>2.3190849590814607E-11</v>
      </c>
      <c r="K334" s="161">
        <v>2.3574491966541594E-14</v>
      </c>
      <c r="L334" s="161">
        <v>6.266526843188435E-14</v>
      </c>
      <c r="M334" s="161"/>
      <c r="N334" s="161"/>
      <c r="O334" s="161"/>
      <c r="P334" s="161"/>
      <c r="Q334" s="161"/>
      <c r="R334" s="161"/>
      <c r="S334" s="161"/>
      <c r="T334" s="161"/>
      <c r="U334" s="161"/>
    </row>
    <row r="335" spans="1:21">
      <c r="A335" s="19"/>
      <c r="B335" s="161"/>
      <c r="C335" s="161"/>
      <c r="D335" s="161"/>
      <c r="E335" s="161"/>
      <c r="F335" s="161"/>
      <c r="G335" s="161"/>
      <c r="H335" s="161"/>
      <c r="I335" s="161"/>
      <c r="J335" s="161"/>
      <c r="K335" s="161"/>
      <c r="L335" s="161"/>
      <c r="M335" s="161"/>
      <c r="N335" s="161"/>
      <c r="O335" s="161"/>
      <c r="P335" s="161"/>
      <c r="Q335" s="161"/>
      <c r="R335" s="161"/>
      <c r="S335" s="161"/>
      <c r="T335" s="161"/>
      <c r="U335" s="161"/>
    </row>
    <row r="336" spans="1:21">
      <c r="A336" s="19" t="s">
        <v>120</v>
      </c>
      <c r="B336" s="161" t="s">
        <v>97</v>
      </c>
      <c r="C336" s="147">
        <f t="shared" ref="C336:L336" si="20">IF(C337="B0",$E$2,
IF(C337="agec",$F$2,
IF(C337="agec2",$G$2,
IF(C337="agec3",$H$2,
IF(C337="sexq",$I$2,
IF(C337="tivc",$J$2,
IF(C337="tivc2",$K$2,
IF(C337="tivc3",$L$2,
IF(C337="MFSq",$M$2,
IF(C337="GE",$N$2,
IF(C337="Philips",$O$2,
IF(C337="GE_X_MFSq",$P$2,
IF(C337="Philips_X_MFSq",$Q$2,
IF(C337="tivc_X_MFSq",$R$2,
IF(C337="agec_X_sexq",$S$2,
IF(C337="tivc_X_GE",$T$2,
IF(C337="tivc_X_Philips",$U$2, "Error"
)))))))))))))))))</f>
        <v>1</v>
      </c>
      <c r="D336" s="147">
        <f t="shared" si="20"/>
        <v>-47.563461699999998</v>
      </c>
      <c r="E336" s="147">
        <f t="shared" si="20"/>
        <v>2262.2828888873669</v>
      </c>
      <c r="F336" s="147">
        <f t="shared" si="20"/>
        <v>0</v>
      </c>
      <c r="G336" s="147">
        <f t="shared" si="20"/>
        <v>-1521907.28</v>
      </c>
      <c r="H336" s="147">
        <f t="shared" si="20"/>
        <v>0</v>
      </c>
      <c r="I336" s="147">
        <f t="shared" si="20"/>
        <v>0</v>
      </c>
      <c r="J336" s="147">
        <f t="shared" si="20"/>
        <v>0</v>
      </c>
      <c r="K336" s="147">
        <f t="shared" si="20"/>
        <v>0</v>
      </c>
      <c r="L336" s="147">
        <f t="shared" si="20"/>
        <v>0</v>
      </c>
      <c r="M336" s="161"/>
      <c r="N336" s="161"/>
      <c r="O336" s="161"/>
      <c r="P336" s="161"/>
      <c r="Q336" s="161"/>
      <c r="R336" s="161"/>
      <c r="S336" s="161"/>
      <c r="T336" s="161"/>
      <c r="U336" s="161"/>
    </row>
    <row r="337" spans="1:21">
      <c r="A337" s="19"/>
      <c r="B337" s="161" t="s">
        <v>98</v>
      </c>
      <c r="C337" s="161" t="s">
        <v>42</v>
      </c>
      <c r="D337" s="161" t="s">
        <v>43</v>
      </c>
      <c r="E337" s="161" t="s">
        <v>57</v>
      </c>
      <c r="F337" s="161" t="s">
        <v>69</v>
      </c>
      <c r="G337" s="161" t="s">
        <v>44</v>
      </c>
      <c r="H337" s="161" t="s">
        <v>1</v>
      </c>
      <c r="I337" s="161" t="s">
        <v>2</v>
      </c>
      <c r="J337" s="161" t="s">
        <v>95</v>
      </c>
      <c r="K337" s="161" t="s">
        <v>101</v>
      </c>
      <c r="L337" s="161" t="s">
        <v>102</v>
      </c>
      <c r="M337" s="161"/>
      <c r="N337" s="161"/>
      <c r="O337" s="161"/>
      <c r="P337" s="161"/>
      <c r="Q337" s="161"/>
      <c r="R337" s="161"/>
      <c r="S337" s="161"/>
      <c r="T337" s="161"/>
      <c r="U337" s="161"/>
    </row>
    <row r="338" spans="1:21">
      <c r="A338" s="19"/>
      <c r="B338" s="161">
        <v>3.8421003337993005</v>
      </c>
      <c r="C338" s="161">
        <v>2.1657176380132487E-3</v>
      </c>
      <c r="D338" s="161">
        <v>3.0983821686787338E-6</v>
      </c>
      <c r="E338" s="161">
        <v>-1.7477440096751527E-6</v>
      </c>
      <c r="F338" s="161">
        <v>-1.2039651771109563E-3</v>
      </c>
      <c r="G338" s="161">
        <v>2.6338984836532821E-9</v>
      </c>
      <c r="H338" s="161">
        <v>-4.9802963230036819E-4</v>
      </c>
      <c r="I338" s="161">
        <v>-9.7558628444728243E-4</v>
      </c>
      <c r="J338" s="161">
        <v>3.1866091292708329E-6</v>
      </c>
      <c r="K338" s="161">
        <v>-6.4341160144442428E-10</v>
      </c>
      <c r="L338" s="161">
        <v>-4.2023930421742308E-10</v>
      </c>
      <c r="M338" s="161"/>
      <c r="N338" s="161"/>
      <c r="O338" s="161"/>
      <c r="P338" s="161"/>
      <c r="Q338" s="161"/>
      <c r="R338" s="161"/>
      <c r="S338" s="161"/>
      <c r="T338" s="161"/>
      <c r="U338" s="161"/>
    </row>
    <row r="339" spans="1:21">
      <c r="A339" s="19"/>
      <c r="B339" s="161">
        <v>7.5631736775265352E-3</v>
      </c>
      <c r="C339" s="161">
        <v>3.0983821686787338E-6</v>
      </c>
      <c r="D339" s="161">
        <v>1.6772121166482183E-6</v>
      </c>
      <c r="E339" s="161">
        <v>-1.2500932805609432E-8</v>
      </c>
      <c r="F339" s="161">
        <v>1.0034345060680254E-6</v>
      </c>
      <c r="G339" s="161">
        <v>1.4804637302821098E-11</v>
      </c>
      <c r="H339" s="161">
        <v>4.3828584068299213E-6</v>
      </c>
      <c r="I339" s="161">
        <v>4.5857321366026432E-7</v>
      </c>
      <c r="J339" s="161">
        <v>-1.6298585265618699E-6</v>
      </c>
      <c r="K339" s="161">
        <v>-3.3808462339428732E-11</v>
      </c>
      <c r="L339" s="161">
        <v>8.447580148538854E-14</v>
      </c>
      <c r="M339" s="161"/>
      <c r="N339" s="161"/>
      <c r="O339" s="161"/>
      <c r="P339" s="161"/>
      <c r="Q339" s="161"/>
      <c r="R339" s="161"/>
      <c r="S339" s="161"/>
      <c r="T339" s="161"/>
      <c r="U339" s="161"/>
    </row>
    <row r="340" spans="1:21">
      <c r="A340" s="19"/>
      <c r="B340" s="161">
        <v>1.1067552018729171E-4</v>
      </c>
      <c r="C340" s="161">
        <v>-1.7477440096751527E-6</v>
      </c>
      <c r="D340" s="161">
        <v>-1.2500932805609432E-8</v>
      </c>
      <c r="E340" s="161">
        <v>3.5466907744095479E-9</v>
      </c>
      <c r="F340" s="161">
        <v>7.0325073894892297E-8</v>
      </c>
      <c r="G340" s="161">
        <v>-7.8363882642066656E-13</v>
      </c>
      <c r="H340" s="161">
        <v>-4.3486716538876876E-7</v>
      </c>
      <c r="I340" s="161">
        <v>4.4032826511290137E-7</v>
      </c>
      <c r="J340" s="161">
        <v>1.1449778470213632E-9</v>
      </c>
      <c r="K340" s="161">
        <v>9.0268638511612616E-13</v>
      </c>
      <c r="L340" s="161">
        <v>-2.1260409361518702E-13</v>
      </c>
      <c r="M340" s="161"/>
      <c r="N340" s="161"/>
      <c r="O340" s="161"/>
      <c r="P340" s="161"/>
      <c r="Q340" s="161"/>
      <c r="R340" s="161"/>
      <c r="S340" s="161"/>
      <c r="T340" s="161"/>
      <c r="U340" s="161"/>
    </row>
    <row r="341" spans="1:21">
      <c r="A341" s="19"/>
      <c r="B341" s="161">
        <v>7.0151254431072771E-3</v>
      </c>
      <c r="C341" s="161">
        <v>-1.2039651771109563E-3</v>
      </c>
      <c r="D341" s="161">
        <v>1.0034345060680254E-6</v>
      </c>
      <c r="E341" s="161">
        <v>7.0325073894892297E-8</v>
      </c>
      <c r="F341" s="161">
        <v>2.2685826087900512E-3</v>
      </c>
      <c r="G341" s="161">
        <v>-3.7518803621241659E-9</v>
      </c>
      <c r="H341" s="161">
        <v>9.8717115321964462E-6</v>
      </c>
      <c r="I341" s="161">
        <v>1.2344065952100703E-4</v>
      </c>
      <c r="J341" s="161">
        <v>-1.0962778981225732E-6</v>
      </c>
      <c r="K341" s="161">
        <v>-1.6805051462454965E-10</v>
      </c>
      <c r="L341" s="161">
        <v>3.7793271450161133E-10</v>
      </c>
      <c r="M341" s="161"/>
      <c r="N341" s="161"/>
      <c r="O341" s="161"/>
      <c r="P341" s="161"/>
      <c r="Q341" s="161"/>
      <c r="R341" s="161"/>
      <c r="S341" s="161"/>
      <c r="T341" s="161"/>
      <c r="U341" s="161"/>
    </row>
    <row r="342" spans="1:21">
      <c r="A342" s="19"/>
      <c r="B342" s="161">
        <v>5.6756856633002392E-7</v>
      </c>
      <c r="C342" s="161">
        <v>2.6338984836532821E-9</v>
      </c>
      <c r="D342" s="161">
        <v>1.4804637302821098E-11</v>
      </c>
      <c r="E342" s="161">
        <v>-7.8363882642066656E-13</v>
      </c>
      <c r="F342" s="161">
        <v>-3.7518803621241659E-9</v>
      </c>
      <c r="G342" s="161">
        <v>2.9902320741833199E-14</v>
      </c>
      <c r="H342" s="161">
        <v>-2.5509280968529996E-10</v>
      </c>
      <c r="I342" s="161">
        <v>-6.0517612778647916E-10</v>
      </c>
      <c r="J342" s="161">
        <v>-8.824113092605155E-12</v>
      </c>
      <c r="K342" s="161">
        <v>-2.3597504164188974E-14</v>
      </c>
      <c r="L342" s="161">
        <v>-2.3981728242903722E-14</v>
      </c>
      <c r="M342" s="162"/>
      <c r="N342" s="162"/>
      <c r="O342" s="162"/>
      <c r="P342" s="161"/>
      <c r="Q342" s="161"/>
      <c r="R342" s="161"/>
      <c r="S342" s="161"/>
      <c r="T342" s="161"/>
      <c r="U342" s="161"/>
    </row>
    <row r="343" spans="1:21">
      <c r="A343" s="19"/>
      <c r="B343" s="161">
        <v>1.2979910671655801E-2</v>
      </c>
      <c r="C343" s="161">
        <v>-4.9802963230036819E-4</v>
      </c>
      <c r="D343" s="161">
        <v>4.3828584068299213E-6</v>
      </c>
      <c r="E343" s="161">
        <v>-4.3486716538876876E-7</v>
      </c>
      <c r="F343" s="161">
        <v>9.8717115321964462E-6</v>
      </c>
      <c r="G343" s="161">
        <v>-2.5509280968529996E-10</v>
      </c>
      <c r="H343" s="161">
        <v>2.9936083422567382E-3</v>
      </c>
      <c r="I343" s="161">
        <v>6.4497185957256605E-4</v>
      </c>
      <c r="J343" s="161">
        <v>-5.3950611204071287E-6</v>
      </c>
      <c r="K343" s="161">
        <v>1.7601844560940238E-9</v>
      </c>
      <c r="L343" s="161">
        <v>3.3393104915568266E-10</v>
      </c>
      <c r="M343" s="161"/>
      <c r="N343" s="161"/>
      <c r="O343" s="161"/>
      <c r="P343" s="161"/>
      <c r="Q343" s="161"/>
      <c r="R343" s="161"/>
      <c r="S343" s="161"/>
      <c r="T343" s="161"/>
      <c r="U343" s="161"/>
    </row>
    <row r="344" spans="1:21" s="164" customFormat="1">
      <c r="A344" s="19"/>
      <c r="B344" s="161">
        <v>-3.4668849097427741E-2</v>
      </c>
      <c r="C344" s="161">
        <v>-9.7558628444728243E-4</v>
      </c>
      <c r="D344" s="161">
        <v>4.5857321366026432E-7</v>
      </c>
      <c r="E344" s="161">
        <v>4.4032826511290137E-7</v>
      </c>
      <c r="F344" s="161">
        <v>1.2344065952100703E-4</v>
      </c>
      <c r="G344" s="161">
        <v>-6.0517612778647916E-10</v>
      </c>
      <c r="H344" s="161">
        <v>6.4497185957256605E-4</v>
      </c>
      <c r="I344" s="161">
        <v>2.1886933325339E-3</v>
      </c>
      <c r="J344" s="161">
        <v>5.1934351255824884E-8</v>
      </c>
      <c r="K344" s="161">
        <v>4.0665898549048114E-10</v>
      </c>
      <c r="L344" s="161">
        <v>-1.3513333710444006E-9</v>
      </c>
      <c r="M344" s="19"/>
      <c r="N344" s="19"/>
      <c r="O344" s="19"/>
      <c r="P344" s="19"/>
      <c r="Q344" s="19"/>
      <c r="R344" s="19"/>
      <c r="S344" s="19"/>
      <c r="T344" s="19"/>
      <c r="U344" s="19"/>
    </row>
    <row r="345" spans="1:21">
      <c r="A345" s="19"/>
      <c r="B345" s="161">
        <v>9.7879653449543607E-4</v>
      </c>
      <c r="C345" s="161">
        <v>3.1866091292708329E-6</v>
      </c>
      <c r="D345" s="161">
        <v>-1.6298585265618699E-6</v>
      </c>
      <c r="E345" s="161">
        <v>1.1449778470213632E-9</v>
      </c>
      <c r="F345" s="161">
        <v>-1.0962778981225732E-6</v>
      </c>
      <c r="G345" s="161">
        <v>-8.824113092605155E-12</v>
      </c>
      <c r="H345" s="161">
        <v>-5.3950611204071287E-6</v>
      </c>
      <c r="I345" s="161">
        <v>5.1934351255824884E-8</v>
      </c>
      <c r="J345" s="161">
        <v>3.2579955620846488E-6</v>
      </c>
      <c r="K345" s="161">
        <v>3.1222609252094042E-11</v>
      </c>
      <c r="L345" s="161">
        <v>2.3398081623334806E-11</v>
      </c>
      <c r="M345" s="161"/>
      <c r="N345" s="161"/>
      <c r="O345" s="161"/>
      <c r="P345" s="161"/>
      <c r="Q345" s="161"/>
      <c r="R345" s="161"/>
      <c r="S345" s="161"/>
      <c r="T345" s="161"/>
      <c r="U345" s="161"/>
    </row>
    <row r="346" spans="1:21">
      <c r="A346" s="19"/>
      <c r="B346" s="161">
        <v>-6.8300479545313472E-8</v>
      </c>
      <c r="C346" s="161">
        <v>-6.4341160144442428E-10</v>
      </c>
      <c r="D346" s="161">
        <v>-3.3808462339428732E-11</v>
      </c>
      <c r="E346" s="161">
        <v>9.0268638511612616E-13</v>
      </c>
      <c r="F346" s="161">
        <v>-1.6805051462454965E-10</v>
      </c>
      <c r="G346" s="161">
        <v>-2.3597504164188974E-14</v>
      </c>
      <c r="H346" s="161">
        <v>1.7601844560940238E-9</v>
      </c>
      <c r="I346" s="161">
        <v>4.0665898549048114E-10</v>
      </c>
      <c r="J346" s="161">
        <v>3.1222609252094042E-11</v>
      </c>
      <c r="K346" s="161">
        <v>9.3426194345246606E-14</v>
      </c>
      <c r="L346" s="161">
        <v>2.3378955609795266E-14</v>
      </c>
      <c r="M346" s="161"/>
      <c r="N346" s="161"/>
      <c r="O346" s="161"/>
      <c r="P346" s="161"/>
      <c r="Q346" s="161"/>
      <c r="R346" s="161"/>
      <c r="S346" s="161"/>
      <c r="T346" s="161"/>
      <c r="U346" s="161"/>
    </row>
    <row r="347" spans="1:21">
      <c r="A347" s="19"/>
      <c r="B347" s="161">
        <v>-9.7344222558222227E-8</v>
      </c>
      <c r="C347" s="161">
        <v>-4.2023930421742308E-10</v>
      </c>
      <c r="D347" s="161">
        <v>8.447580148538854E-14</v>
      </c>
      <c r="E347" s="161">
        <v>-2.1260409361518702E-13</v>
      </c>
      <c r="F347" s="161">
        <v>3.7793271450161133E-10</v>
      </c>
      <c r="G347" s="161">
        <v>-2.3981728242903722E-14</v>
      </c>
      <c r="H347" s="161">
        <v>3.3393104915568266E-10</v>
      </c>
      <c r="I347" s="161">
        <v>-1.3513333710444006E-9</v>
      </c>
      <c r="J347" s="161">
        <v>2.3398081623334806E-11</v>
      </c>
      <c r="K347" s="161">
        <v>2.3378955609795266E-14</v>
      </c>
      <c r="L347" s="161">
        <v>6.1937470627608977E-14</v>
      </c>
      <c r="M347" s="161"/>
      <c r="N347" s="161"/>
      <c r="O347" s="161"/>
      <c r="P347" s="161"/>
      <c r="Q347" s="161"/>
      <c r="R347" s="161"/>
      <c r="S347" s="161"/>
      <c r="T347" s="161"/>
      <c r="U347" s="161"/>
    </row>
    <row r="348" spans="1:21">
      <c r="A348" s="19"/>
      <c r="B348" s="161"/>
      <c r="C348" s="161"/>
      <c r="D348" s="161"/>
      <c r="E348" s="161"/>
      <c r="F348" s="161"/>
      <c r="G348" s="161"/>
      <c r="H348" s="161"/>
      <c r="I348" s="161"/>
      <c r="J348" s="161"/>
      <c r="K348" s="161"/>
      <c r="L348" s="161"/>
      <c r="M348" s="161"/>
      <c r="N348" s="161"/>
      <c r="O348" s="161"/>
      <c r="P348" s="161"/>
      <c r="Q348" s="161"/>
      <c r="R348" s="161"/>
      <c r="S348" s="161"/>
      <c r="T348" s="161"/>
      <c r="U348" s="161"/>
    </row>
    <row r="349" spans="1:21">
      <c r="A349" s="19" t="s">
        <v>121</v>
      </c>
      <c r="B349" s="161" t="s">
        <v>97</v>
      </c>
      <c r="C349" s="147">
        <f t="shared" ref="C349:R349" si="21">IF(C350="B0",$E$2,
IF(C350="agec",$F$2,
IF(C350="agec2",$G$2,
IF(C350="agec3",$H$2,
IF(C350="sexq",$I$2,
IF(C350="tivc",$J$2,
IF(C350="tivc2",$K$2,
IF(C350="tivc3",$L$2,
IF(C350="MFSq",$M$2,
IF(C350="GE",$N$2,
IF(C350="Philips",$O$2,
IF(C350="GE_X_MFSq",$P$2,
IF(C350="Philips_X_MFSq",$Q$2,
IF(C350="tivc_X_MFSq",$R$2,
IF(C350="agec_X_sexq",$S$2,
IF(C350="tivc_X_GE",$T$2,
IF(C350="tivc_X_Philips",$U$2, "Error"
)))))))))))))))))</f>
        <v>1</v>
      </c>
      <c r="D349" s="147">
        <f t="shared" si="21"/>
        <v>-47.563461699999998</v>
      </c>
      <c r="E349" s="147">
        <f t="shared" si="21"/>
        <v>2262.2828888873669</v>
      </c>
      <c r="F349" s="147">
        <f t="shared" si="21"/>
        <v>-107602.00554015962</v>
      </c>
      <c r="G349" s="147">
        <f t="shared" si="21"/>
        <v>0</v>
      </c>
      <c r="H349" s="147">
        <f t="shared" si="21"/>
        <v>-1521907.28</v>
      </c>
      <c r="I349" s="147">
        <f t="shared" si="21"/>
        <v>2316201768916.9985</v>
      </c>
      <c r="J349" s="147">
        <f t="shared" si="21"/>
        <v>-3.525044334063658E+18</v>
      </c>
      <c r="K349" s="147">
        <f t="shared" si="21"/>
        <v>0</v>
      </c>
      <c r="L349" s="147">
        <f t="shared" si="21"/>
        <v>0</v>
      </c>
      <c r="M349" s="147">
        <f t="shared" si="21"/>
        <v>0</v>
      </c>
      <c r="N349" s="147">
        <f t="shared" si="21"/>
        <v>0</v>
      </c>
      <c r="O349" s="147">
        <f t="shared" si="21"/>
        <v>0</v>
      </c>
      <c r="P349" s="147">
        <f t="shared" si="21"/>
        <v>0</v>
      </c>
      <c r="Q349" s="147">
        <f t="shared" si="21"/>
        <v>0</v>
      </c>
      <c r="R349" s="147">
        <f t="shared" si="21"/>
        <v>0</v>
      </c>
      <c r="S349" s="161"/>
      <c r="T349" s="161"/>
      <c r="U349" s="161"/>
    </row>
    <row r="350" spans="1:21">
      <c r="A350" s="19"/>
      <c r="B350" s="161" t="s">
        <v>98</v>
      </c>
      <c r="C350" s="161" t="s">
        <v>42</v>
      </c>
      <c r="D350" s="161" t="s">
        <v>43</v>
      </c>
      <c r="E350" s="161" t="s">
        <v>57</v>
      </c>
      <c r="F350" s="161" t="s">
        <v>66</v>
      </c>
      <c r="G350" s="161" t="s">
        <v>69</v>
      </c>
      <c r="H350" s="161" t="s">
        <v>44</v>
      </c>
      <c r="I350" s="161" t="s">
        <v>45</v>
      </c>
      <c r="J350" s="161" t="s">
        <v>68</v>
      </c>
      <c r="K350" s="161" t="s">
        <v>92</v>
      </c>
      <c r="L350" s="161" t="s">
        <v>1</v>
      </c>
      <c r="M350" s="161" t="s">
        <v>2</v>
      </c>
      <c r="N350" s="161" t="s">
        <v>93</v>
      </c>
      <c r="O350" s="161" t="s">
        <v>94</v>
      </c>
      <c r="P350" s="161" t="s">
        <v>95</v>
      </c>
      <c r="Q350" s="161" t="s">
        <v>101</v>
      </c>
      <c r="R350" s="161" t="s">
        <v>102</v>
      </c>
      <c r="S350" s="161"/>
      <c r="T350" s="161"/>
      <c r="U350" s="161"/>
    </row>
    <row r="351" spans="1:21">
      <c r="A351" s="19"/>
      <c r="B351" s="161">
        <v>2.3088171055151734</v>
      </c>
      <c r="C351" s="161">
        <v>2.864403708311787E-3</v>
      </c>
      <c r="D351" s="161">
        <v>-2.387711315300438E-5</v>
      </c>
      <c r="E351" s="161">
        <v>-2.1717113556518695E-6</v>
      </c>
      <c r="F351" s="161">
        <v>4.1950252618797692E-8</v>
      </c>
      <c r="G351" s="161">
        <v>-1.3464669490731451E-3</v>
      </c>
      <c r="H351" s="161">
        <v>3.4493737176520475E-9</v>
      </c>
      <c r="I351" s="161">
        <v>-6.230052066854171E-15</v>
      </c>
      <c r="J351" s="161">
        <v>-5.5436827956706219E-21</v>
      </c>
      <c r="K351" s="161">
        <v>-9.6070074867598372E-4</v>
      </c>
      <c r="L351" s="161">
        <v>-9.9362935481850227E-4</v>
      </c>
      <c r="M351" s="161">
        <v>-1.1190961566285974E-3</v>
      </c>
      <c r="N351" s="161">
        <v>1.3816490157191636E-3</v>
      </c>
      <c r="O351" s="161">
        <v>7.3949628104005708E-4</v>
      </c>
      <c r="P351" s="161">
        <v>1.4165302183902491E-6</v>
      </c>
      <c r="Q351" s="161">
        <v>-6.570019917389701E-10</v>
      </c>
      <c r="R351" s="161">
        <v>-1.1641843802609919E-10</v>
      </c>
      <c r="S351" s="161"/>
      <c r="T351" s="161"/>
      <c r="U351" s="161"/>
    </row>
    <row r="352" spans="1:21">
      <c r="A352" s="19"/>
      <c r="B352" s="161">
        <v>5.2385376779296349E-3</v>
      </c>
      <c r="C352" s="161">
        <v>-2.387711315300438E-5</v>
      </c>
      <c r="D352" s="161">
        <v>6.4968246613003339E-6</v>
      </c>
      <c r="E352" s="161">
        <v>7.1423869871651542E-8</v>
      </c>
      <c r="F352" s="161">
        <v>-6.9716548293134143E-9</v>
      </c>
      <c r="G352" s="161">
        <v>5.3555673715550289E-6</v>
      </c>
      <c r="H352" s="161">
        <v>1.3236139679881184E-11</v>
      </c>
      <c r="I352" s="161">
        <v>1.4557197350208779E-18</v>
      </c>
      <c r="J352" s="161">
        <v>-1.5968328187538808E-22</v>
      </c>
      <c r="K352" s="161">
        <v>-1.1035947227196931E-5</v>
      </c>
      <c r="L352" s="161">
        <v>-2.7359518641264671E-6</v>
      </c>
      <c r="M352" s="161">
        <v>-2.6750300177887971E-6</v>
      </c>
      <c r="N352" s="161">
        <v>1.8835528391397047E-6</v>
      </c>
      <c r="O352" s="161">
        <v>1.4030012640506491E-5</v>
      </c>
      <c r="P352" s="161">
        <v>-1.6662134784182187E-6</v>
      </c>
      <c r="Q352" s="161">
        <v>-1.4520862668112303E-11</v>
      </c>
      <c r="R352" s="161">
        <v>3.7741879703084653E-11</v>
      </c>
      <c r="S352" s="161"/>
      <c r="T352" s="161"/>
      <c r="U352" s="161"/>
    </row>
    <row r="353" spans="1:21">
      <c r="A353" s="19"/>
      <c r="B353" s="161">
        <v>2.5670896176962859E-4</v>
      </c>
      <c r="C353" s="161">
        <v>-2.1717113556518695E-6</v>
      </c>
      <c r="D353" s="161">
        <v>7.1423869871651542E-8</v>
      </c>
      <c r="E353" s="161">
        <v>5.1484888195565865E-9</v>
      </c>
      <c r="F353" s="161">
        <v>-1.2095969298143187E-10</v>
      </c>
      <c r="G353" s="161">
        <v>1.3638599017750081E-7</v>
      </c>
      <c r="H353" s="161">
        <v>-1.0828959901916839E-12</v>
      </c>
      <c r="I353" s="161">
        <v>4.3743956937581259E-19</v>
      </c>
      <c r="J353" s="161">
        <v>3.7881655609170418E-25</v>
      </c>
      <c r="K353" s="161">
        <v>-5.6542688999213514E-7</v>
      </c>
      <c r="L353" s="161">
        <v>-1.8630132822743946E-7</v>
      </c>
      <c r="M353" s="161">
        <v>3.1717690739878564E-7</v>
      </c>
      <c r="N353" s="161">
        <v>-4.2380566167769186E-7</v>
      </c>
      <c r="O353" s="161">
        <v>5.6056660367073147E-7</v>
      </c>
      <c r="P353" s="161">
        <v>1.0715055215386491E-9</v>
      </c>
      <c r="Q353" s="161">
        <v>1.1971264959193379E-12</v>
      </c>
      <c r="R353" s="161">
        <v>3.6550345434179311E-13</v>
      </c>
      <c r="S353" s="161"/>
      <c r="T353" s="161"/>
      <c r="U353" s="161"/>
    </row>
    <row r="354" spans="1:21">
      <c r="A354" s="19"/>
      <c r="B354" s="161">
        <v>9.8729769474733373E-7</v>
      </c>
      <c r="C354" s="161">
        <v>4.1950252618797692E-8</v>
      </c>
      <c r="D354" s="161">
        <v>-6.9716548293134143E-9</v>
      </c>
      <c r="E354" s="161">
        <v>-1.2095969298143187E-10</v>
      </c>
      <c r="F354" s="161">
        <v>1.0131885872964748E-11</v>
      </c>
      <c r="G354" s="161">
        <v>-7.4188377705686918E-9</v>
      </c>
      <c r="H354" s="161">
        <v>1.9506108568732056E-14</v>
      </c>
      <c r="I354" s="161">
        <v>-4.4896933817070505E-21</v>
      </c>
      <c r="J354" s="161">
        <v>5.4895570665121636E-26</v>
      </c>
      <c r="K354" s="161">
        <v>8.3571665529510307E-9</v>
      </c>
      <c r="L354" s="161">
        <v>2.6907193192799218E-9</v>
      </c>
      <c r="M354" s="161">
        <v>-1.8342539444161847E-9</v>
      </c>
      <c r="N354" s="161">
        <v>1.2646319508576381E-8</v>
      </c>
      <c r="O354" s="161">
        <v>-7.0523633091613603E-9</v>
      </c>
      <c r="P354" s="161">
        <v>1.8190064067529324E-11</v>
      </c>
      <c r="Q354" s="161">
        <v>-2.5879997724612495E-14</v>
      </c>
      <c r="R354" s="161">
        <v>-5.1443663193370346E-14</v>
      </c>
      <c r="S354" s="161"/>
      <c r="T354" s="161"/>
      <c r="U354" s="161"/>
    </row>
    <row r="355" spans="1:21">
      <c r="A355" s="19"/>
      <c r="B355" s="161">
        <v>0.10355778932245575</v>
      </c>
      <c r="C355" s="161">
        <v>-1.3464669490731451E-3</v>
      </c>
      <c r="D355" s="161">
        <v>5.3555673715550289E-6</v>
      </c>
      <c r="E355" s="161">
        <v>1.3638599017750081E-7</v>
      </c>
      <c r="F355" s="161">
        <v>-7.4188377705686918E-9</v>
      </c>
      <c r="G355" s="161">
        <v>2.366724325936897E-3</v>
      </c>
      <c r="H355" s="161">
        <v>-4.9206984899240043E-9</v>
      </c>
      <c r="I355" s="161">
        <v>-3.3029528803184092E-16</v>
      </c>
      <c r="J355" s="161">
        <v>1.0969256999635272E-20</v>
      </c>
      <c r="K355" s="161">
        <v>2.4017614940376311E-4</v>
      </c>
      <c r="L355" s="161">
        <v>1.192367354453534E-4</v>
      </c>
      <c r="M355" s="161">
        <v>8.7566454251590737E-6</v>
      </c>
      <c r="N355" s="161">
        <v>-3.3135549648722717E-4</v>
      </c>
      <c r="O355" s="161">
        <v>7.5745053823245462E-5</v>
      </c>
      <c r="P355" s="161">
        <v>-5.7270200030317563E-7</v>
      </c>
      <c r="Q355" s="161">
        <v>-1.2370370314051609E-10</v>
      </c>
      <c r="R355" s="161">
        <v>2.4041172252376694E-10</v>
      </c>
      <c r="S355" s="161"/>
      <c r="T355" s="161"/>
      <c r="U355" s="161"/>
    </row>
    <row r="356" spans="1:21">
      <c r="A356" s="19"/>
      <c r="B356" s="161">
        <v>3.8287260610244844E-7</v>
      </c>
      <c r="C356" s="161">
        <v>3.4493737176520475E-9</v>
      </c>
      <c r="D356" s="161">
        <v>1.3236139679881184E-11</v>
      </c>
      <c r="E356" s="161">
        <v>-1.0828959901916839E-12</v>
      </c>
      <c r="F356" s="161">
        <v>1.9506108568732056E-14</v>
      </c>
      <c r="G356" s="161">
        <v>-4.9206984899240043E-9</v>
      </c>
      <c r="H356" s="161">
        <v>5.2296430219264495E-14</v>
      </c>
      <c r="I356" s="161">
        <v>6.4228539514350666E-21</v>
      </c>
      <c r="J356" s="161">
        <v>-2.2621231824769577E-25</v>
      </c>
      <c r="K356" s="161">
        <v>-5.5773193805065444E-10</v>
      </c>
      <c r="L356" s="161">
        <v>-3.173068781413956E-10</v>
      </c>
      <c r="M356" s="161">
        <v>-1.0860236680309178E-9</v>
      </c>
      <c r="N356" s="161">
        <v>8.918063910252398E-10</v>
      </c>
      <c r="O356" s="161">
        <v>5.6411781820063869E-10</v>
      </c>
      <c r="P356" s="161">
        <v>-2.6794534262110316E-11</v>
      </c>
      <c r="Q356" s="161">
        <v>-2.4490490386401567E-14</v>
      </c>
      <c r="R356" s="161">
        <v>-2.163418316339603E-14</v>
      </c>
      <c r="S356" s="161"/>
      <c r="T356" s="161"/>
      <c r="U356" s="161"/>
    </row>
    <row r="357" spans="1:21">
      <c r="A357" s="19"/>
      <c r="B357" s="161">
        <v>-1.842362273624566E-13</v>
      </c>
      <c r="C357" s="161">
        <v>-6.230052066854171E-15</v>
      </c>
      <c r="D357" s="161">
        <v>1.4557197350208779E-18</v>
      </c>
      <c r="E357" s="161">
        <v>4.3743956937581259E-19</v>
      </c>
      <c r="F357" s="161">
        <v>-4.4896933817070505E-21</v>
      </c>
      <c r="G357" s="161">
        <v>-3.3029528803184092E-16</v>
      </c>
      <c r="H357" s="161">
        <v>6.4228539514350666E-21</v>
      </c>
      <c r="I357" s="161">
        <v>1.9657987662337313E-25</v>
      </c>
      <c r="J357" s="161">
        <v>-3.708620481017744E-32</v>
      </c>
      <c r="K357" s="161">
        <v>1.0236683699796762E-15</v>
      </c>
      <c r="L357" s="161">
        <v>-6.6603848731489679E-16</v>
      </c>
      <c r="M357" s="161">
        <v>-1.4362344365002029E-15</v>
      </c>
      <c r="N357" s="161">
        <v>-2.6107559088439714E-16</v>
      </c>
      <c r="O357" s="161">
        <v>2.9022257831033117E-16</v>
      </c>
      <c r="P357" s="161">
        <v>3.9136186144021328E-17</v>
      </c>
      <c r="Q357" s="161">
        <v>-6.4469866946395173E-21</v>
      </c>
      <c r="R357" s="161">
        <v>-1.5750166701414461E-20</v>
      </c>
      <c r="S357" s="161"/>
      <c r="T357" s="161"/>
      <c r="U357" s="161"/>
    </row>
    <row r="358" spans="1:21">
      <c r="A358" s="19"/>
      <c r="B358" s="161">
        <v>-4.3037443797874304E-19</v>
      </c>
      <c r="C358" s="161">
        <v>-5.5436827956706219E-21</v>
      </c>
      <c r="D358" s="161">
        <v>-1.5968328187538808E-22</v>
      </c>
      <c r="E358" s="161">
        <v>3.7881655609170418E-25</v>
      </c>
      <c r="F358" s="161">
        <v>5.4895570665121636E-26</v>
      </c>
      <c r="G358" s="161">
        <v>1.0969256999635272E-20</v>
      </c>
      <c r="H358" s="161">
        <v>-2.2621231824769577E-25</v>
      </c>
      <c r="I358" s="161">
        <v>-3.708620481017744E-32</v>
      </c>
      <c r="J358" s="161">
        <v>2.2627582781103376E-36</v>
      </c>
      <c r="K358" s="161">
        <v>-9.0070113001250353E-22</v>
      </c>
      <c r="L358" s="161">
        <v>-3.435046076901461E-21</v>
      </c>
      <c r="M358" s="161">
        <v>5.85051493210061E-21</v>
      </c>
      <c r="N358" s="161">
        <v>8.9224626883183159E-22</v>
      </c>
      <c r="O358" s="161">
        <v>-4.4319288773964437E-21</v>
      </c>
      <c r="P358" s="161">
        <v>2.0268276229860969E-22</v>
      </c>
      <c r="Q358" s="161">
        <v>1.211992105295899E-26</v>
      </c>
      <c r="R358" s="161">
        <v>-2.1685768153557289E-26</v>
      </c>
      <c r="S358" s="161"/>
      <c r="T358" s="161"/>
      <c r="U358" s="161"/>
    </row>
    <row r="359" spans="1:21">
      <c r="A359" s="19"/>
      <c r="B359" s="161">
        <v>7.6414388537848515E-2</v>
      </c>
      <c r="C359" s="161">
        <v>-9.6070074867598372E-4</v>
      </c>
      <c r="D359" s="161">
        <v>-1.1035947227196931E-5</v>
      </c>
      <c r="E359" s="161">
        <v>-5.6542688999213514E-7</v>
      </c>
      <c r="F359" s="161">
        <v>8.3571665529510307E-9</v>
      </c>
      <c r="G359" s="161">
        <v>2.4017614940376311E-4</v>
      </c>
      <c r="H359" s="161">
        <v>-5.5773193805065444E-10</v>
      </c>
      <c r="I359" s="161">
        <v>1.0236683699796762E-15</v>
      </c>
      <c r="J359" s="161">
        <v>-9.0070113001250353E-22</v>
      </c>
      <c r="K359" s="161">
        <v>3.3318964100466806E-3</v>
      </c>
      <c r="L359" s="161">
        <v>1.0681379663623214E-3</v>
      </c>
      <c r="M359" s="161">
        <v>9.7460680455546602E-4</v>
      </c>
      <c r="N359" s="161">
        <v>-3.2180759027342228E-3</v>
      </c>
      <c r="O359" s="161">
        <v>-3.2866589141276894E-3</v>
      </c>
      <c r="P359" s="161">
        <v>5.9546003597993425E-7</v>
      </c>
      <c r="Q359" s="161">
        <v>2.0497254712610639E-10</v>
      </c>
      <c r="R359" s="161">
        <v>1.3940738341839029E-10</v>
      </c>
      <c r="S359" s="161"/>
      <c r="T359" s="161"/>
      <c r="U359" s="161"/>
    </row>
    <row r="360" spans="1:21" s="164" customFormat="1">
      <c r="A360" s="19"/>
      <c r="B360" s="161">
        <v>-0.16899198913231692</v>
      </c>
      <c r="C360" s="161">
        <v>-9.9362935481850227E-4</v>
      </c>
      <c r="D360" s="161">
        <v>-2.7359518641264671E-6</v>
      </c>
      <c r="E360" s="161">
        <v>-1.8630132822743946E-7</v>
      </c>
      <c r="F360" s="161">
        <v>2.6907193192799218E-9</v>
      </c>
      <c r="G360" s="161">
        <v>1.192367354453534E-4</v>
      </c>
      <c r="H360" s="161">
        <v>-3.173068781413956E-10</v>
      </c>
      <c r="I360" s="161">
        <v>-6.6603848731489679E-16</v>
      </c>
      <c r="J360" s="161">
        <v>-3.435046076901461E-21</v>
      </c>
      <c r="K360" s="161">
        <v>1.0681379663623214E-3</v>
      </c>
      <c r="L360" s="161">
        <v>7.1860486914119073E-3</v>
      </c>
      <c r="M360" s="161">
        <v>1.0088178268457494E-3</v>
      </c>
      <c r="N360" s="161">
        <v>-7.1386628664079259E-3</v>
      </c>
      <c r="O360" s="161">
        <v>-1.0448476409960698E-3</v>
      </c>
      <c r="P360" s="161">
        <v>-1.181799164275411E-7</v>
      </c>
      <c r="Q360" s="161">
        <v>2.0418784737861454E-9</v>
      </c>
      <c r="R360" s="161">
        <v>5.3193161675953827E-10</v>
      </c>
      <c r="S360" s="19"/>
      <c r="T360" s="19"/>
      <c r="U360" s="19"/>
    </row>
    <row r="361" spans="1:21">
      <c r="A361" s="19"/>
      <c r="B361" s="161">
        <v>-9.8826870117602328E-2</v>
      </c>
      <c r="C361" s="161">
        <v>-1.1190961566285974E-3</v>
      </c>
      <c r="D361" s="161">
        <v>-2.6750300177887971E-6</v>
      </c>
      <c r="E361" s="161">
        <v>3.1717690739878564E-7</v>
      </c>
      <c r="F361" s="161">
        <v>-1.8342539444161847E-9</v>
      </c>
      <c r="G361" s="161">
        <v>8.7566454251590737E-6</v>
      </c>
      <c r="H361" s="161">
        <v>-1.0860236680309178E-9</v>
      </c>
      <c r="I361" s="161">
        <v>-1.4362344365002029E-15</v>
      </c>
      <c r="J361" s="161">
        <v>5.85051493210061E-21</v>
      </c>
      <c r="K361" s="161">
        <v>9.7460680455546602E-4</v>
      </c>
      <c r="L361" s="161">
        <v>1.0088178268457494E-3</v>
      </c>
      <c r="M361" s="161">
        <v>4.9504072312334521E-3</v>
      </c>
      <c r="N361" s="161">
        <v>-1.054224753990396E-3</v>
      </c>
      <c r="O361" s="161">
        <v>-4.8479546725371742E-3</v>
      </c>
      <c r="P361" s="161">
        <v>5.2787976559824073E-6</v>
      </c>
      <c r="Q361" s="161">
        <v>6.4366864851295838E-10</v>
      </c>
      <c r="R361" s="161">
        <v>-1.4175885727173437E-11</v>
      </c>
      <c r="S361" s="161"/>
      <c r="T361" s="161"/>
      <c r="U361" s="161"/>
    </row>
    <row r="362" spans="1:21">
      <c r="A362" s="19"/>
      <c r="B362" s="161">
        <v>0.17242763810704112</v>
      </c>
      <c r="C362" s="161">
        <v>1.3816490157191636E-3</v>
      </c>
      <c r="D362" s="161">
        <v>1.8835528391397047E-6</v>
      </c>
      <c r="E362" s="161">
        <v>-4.2380566167769186E-7</v>
      </c>
      <c r="F362" s="161">
        <v>1.2646319508576381E-8</v>
      </c>
      <c r="G362" s="161">
        <v>-3.3135549648722717E-4</v>
      </c>
      <c r="H362" s="161">
        <v>8.918063910252398E-10</v>
      </c>
      <c r="I362" s="161">
        <v>-2.6107559088439714E-16</v>
      </c>
      <c r="J362" s="161">
        <v>8.9224626883183159E-22</v>
      </c>
      <c r="K362" s="161">
        <v>-3.2180759027342228E-3</v>
      </c>
      <c r="L362" s="161">
        <v>-7.1386628664079259E-3</v>
      </c>
      <c r="M362" s="161">
        <v>-1.054224753990396E-3</v>
      </c>
      <c r="N362" s="161">
        <v>1.2928519914605197E-2</v>
      </c>
      <c r="O362" s="161">
        <v>3.186293784432265E-3</v>
      </c>
      <c r="P362" s="161">
        <v>-8.6808615848266768E-6</v>
      </c>
      <c r="Q362" s="161">
        <v>-6.2721953870269258E-10</v>
      </c>
      <c r="R362" s="161">
        <v>-3.4677921033489225E-10</v>
      </c>
      <c r="S362" s="161"/>
      <c r="T362" s="161"/>
      <c r="U362" s="161"/>
    </row>
    <row r="363" spans="1:21">
      <c r="A363" s="19"/>
      <c r="B363" s="161">
        <v>3.096229685836616E-2</v>
      </c>
      <c r="C363" s="161">
        <v>7.3949628104005708E-4</v>
      </c>
      <c r="D363" s="161">
        <v>1.4030012640506491E-5</v>
      </c>
      <c r="E363" s="161">
        <v>5.6056660367073147E-7</v>
      </c>
      <c r="F363" s="161">
        <v>-7.0523633091613603E-9</v>
      </c>
      <c r="G363" s="161">
        <v>7.5745053823245462E-5</v>
      </c>
      <c r="H363" s="161">
        <v>5.6411781820063869E-10</v>
      </c>
      <c r="I363" s="161">
        <v>2.9022257831033117E-16</v>
      </c>
      <c r="J363" s="161">
        <v>-4.4319288773964437E-21</v>
      </c>
      <c r="K363" s="161">
        <v>-3.2866589141276894E-3</v>
      </c>
      <c r="L363" s="161">
        <v>-1.0448476409960698E-3</v>
      </c>
      <c r="M363" s="161">
        <v>-4.8479546725371742E-3</v>
      </c>
      <c r="N363" s="161">
        <v>3.186293784432265E-3</v>
      </c>
      <c r="O363" s="161">
        <v>9.3262953204635516E-3</v>
      </c>
      <c r="P363" s="161">
        <v>-8.1238226974842188E-6</v>
      </c>
      <c r="Q363" s="161">
        <v>-3.6834616427051655E-10</v>
      </c>
      <c r="R363" s="161">
        <v>-1.882596546322112E-9</v>
      </c>
      <c r="S363" s="161"/>
      <c r="T363" s="161"/>
      <c r="U363" s="161"/>
    </row>
    <row r="364" spans="1:21">
      <c r="A364" s="19"/>
      <c r="B364" s="161">
        <v>1.8169632380668056E-3</v>
      </c>
      <c r="C364" s="161">
        <v>1.4165302183902491E-6</v>
      </c>
      <c r="D364" s="161">
        <v>-1.6662134784182187E-6</v>
      </c>
      <c r="E364" s="161">
        <v>1.0715055215386491E-9</v>
      </c>
      <c r="F364" s="161">
        <v>1.8190064067529324E-11</v>
      </c>
      <c r="G364" s="161">
        <v>-5.7270200030317563E-7</v>
      </c>
      <c r="H364" s="161">
        <v>-2.6794534262110316E-11</v>
      </c>
      <c r="I364" s="161">
        <v>3.9136186144021328E-17</v>
      </c>
      <c r="J364" s="161">
        <v>2.0268276229860969E-22</v>
      </c>
      <c r="K364" s="161">
        <v>5.9546003597993425E-7</v>
      </c>
      <c r="L364" s="161">
        <v>-1.181799164275411E-7</v>
      </c>
      <c r="M364" s="161">
        <v>5.2787976559824073E-6</v>
      </c>
      <c r="N364" s="161">
        <v>-8.6808615848266768E-6</v>
      </c>
      <c r="O364" s="161">
        <v>-8.1238226974842188E-6</v>
      </c>
      <c r="P364" s="161">
        <v>3.3022656901330913E-6</v>
      </c>
      <c r="Q364" s="161">
        <v>2.9026478804560472E-11</v>
      </c>
      <c r="R364" s="161">
        <v>1.7074393582360585E-11</v>
      </c>
      <c r="S364" s="161"/>
      <c r="T364" s="161"/>
      <c r="U364" s="161"/>
    </row>
    <row r="365" spans="1:21">
      <c r="A365" s="19"/>
      <c r="B365" s="161">
        <v>-1.9904162833336381E-7</v>
      </c>
      <c r="C365" s="161">
        <v>-6.570019917389701E-10</v>
      </c>
      <c r="D365" s="161">
        <v>-1.4520862668112303E-11</v>
      </c>
      <c r="E365" s="161">
        <v>1.1971264959193379E-12</v>
      </c>
      <c r="F365" s="161">
        <v>-2.5879997724612495E-14</v>
      </c>
      <c r="G365" s="161">
        <v>-1.2370370314051609E-10</v>
      </c>
      <c r="H365" s="161">
        <v>-2.4490490386401567E-14</v>
      </c>
      <c r="I365" s="161">
        <v>-6.4469866946395173E-21</v>
      </c>
      <c r="J365" s="161">
        <v>1.211992105295899E-26</v>
      </c>
      <c r="K365" s="161">
        <v>2.0497254712610639E-10</v>
      </c>
      <c r="L365" s="161">
        <v>2.0418784737861454E-9</v>
      </c>
      <c r="M365" s="161">
        <v>6.4366864851295838E-10</v>
      </c>
      <c r="N365" s="161">
        <v>-6.2721953870269258E-10</v>
      </c>
      <c r="O365" s="161">
        <v>-3.6834616427051655E-10</v>
      </c>
      <c r="P365" s="161">
        <v>2.9026478804560472E-11</v>
      </c>
      <c r="Q365" s="161">
        <v>9.5075388995350732E-14</v>
      </c>
      <c r="R365" s="161">
        <v>2.3520539490311833E-14</v>
      </c>
      <c r="S365" s="161"/>
      <c r="T365" s="161"/>
      <c r="U365" s="161"/>
    </row>
    <row r="366" spans="1:21">
      <c r="A366" s="19"/>
      <c r="B366" s="161">
        <v>-2.1342267039740969E-7</v>
      </c>
      <c r="C366" s="161">
        <v>-1.1641843802609919E-10</v>
      </c>
      <c r="D366" s="161">
        <v>3.7741879703084653E-11</v>
      </c>
      <c r="E366" s="161">
        <v>3.6550345434179311E-13</v>
      </c>
      <c r="F366" s="161">
        <v>-5.1443663193370346E-14</v>
      </c>
      <c r="G366" s="161">
        <v>2.4041172252376694E-10</v>
      </c>
      <c r="H366" s="161">
        <v>-2.163418316339603E-14</v>
      </c>
      <c r="I366" s="161">
        <v>-1.5750166701414461E-20</v>
      </c>
      <c r="J366" s="161">
        <v>-2.1685768153557289E-26</v>
      </c>
      <c r="K366" s="161">
        <v>1.3940738341839029E-10</v>
      </c>
      <c r="L366" s="161">
        <v>5.3193161675953827E-10</v>
      </c>
      <c r="M366" s="161">
        <v>-1.4175885727173437E-11</v>
      </c>
      <c r="N366" s="161">
        <v>-3.4677921033489225E-10</v>
      </c>
      <c r="O366" s="161">
        <v>-1.882596546322112E-9</v>
      </c>
      <c r="P366" s="161">
        <v>1.7074393582360585E-11</v>
      </c>
      <c r="Q366" s="161">
        <v>2.3520539490311833E-14</v>
      </c>
      <c r="R366" s="161">
        <v>6.2869112596506498E-14</v>
      </c>
      <c r="S366" s="161"/>
      <c r="T366" s="161"/>
      <c r="U366" s="161"/>
    </row>
    <row r="367" spans="1:21">
      <c r="A367" s="19"/>
      <c r="B367" s="161"/>
      <c r="C367" s="161"/>
      <c r="D367" s="161"/>
      <c r="E367" s="161"/>
      <c r="F367" s="161"/>
      <c r="G367" s="161"/>
      <c r="H367" s="161"/>
      <c r="I367" s="161"/>
      <c r="J367" s="161"/>
      <c r="K367" s="161"/>
      <c r="L367" s="161"/>
      <c r="M367" s="161"/>
      <c r="N367" s="161"/>
      <c r="O367" s="161"/>
      <c r="P367" s="161"/>
      <c r="Q367" s="161"/>
      <c r="R367" s="161"/>
      <c r="S367" s="161"/>
      <c r="T367" s="161"/>
      <c r="U367" s="161"/>
    </row>
    <row r="368" spans="1:21">
      <c r="A368" s="19" t="s">
        <v>122</v>
      </c>
      <c r="B368" s="161" t="s">
        <v>97</v>
      </c>
      <c r="C368" s="147">
        <f t="shared" ref="C368:O368" si="22">IF(C369="B0",$E$2,
IF(C369="agec",$F$2,
IF(C369="agec2",$G$2,
IF(C369="agec3",$H$2,
IF(C369="sexq",$I$2,
IF(C369="tivc",$J$2,
IF(C369="tivc2",$K$2,
IF(C369="tivc3",$L$2,
IF(C369="MFSq",$M$2,
IF(C369="GE",$N$2,
IF(C369="Philips",$O$2,
IF(C369="GE_X_MFSq",$P$2,
IF(C369="Philips_X_MFSq",$Q$2,
IF(C369="tivc_X_MFSq",$R$2,
IF(C369="agec_X_sexq",$S$2,
IF(C369="tivc_X_GE",$T$2,
IF(C369="tivc_X_Philips",$U$2, "Error"
)))))))))))))))))</f>
        <v>1</v>
      </c>
      <c r="D368" s="147">
        <f t="shared" si="22"/>
        <v>-47.563461699999998</v>
      </c>
      <c r="E368" s="147">
        <f t="shared" si="22"/>
        <v>2262.2828888873669</v>
      </c>
      <c r="F368" s="147">
        <f t="shared" si="22"/>
        <v>-107602.00554015962</v>
      </c>
      <c r="G368" s="147">
        <f t="shared" si="22"/>
        <v>0</v>
      </c>
      <c r="H368" s="147">
        <f t="shared" si="22"/>
        <v>-1521907.28</v>
      </c>
      <c r="I368" s="147">
        <f t="shared" si="22"/>
        <v>0</v>
      </c>
      <c r="J368" s="147">
        <f t="shared" si="22"/>
        <v>0</v>
      </c>
      <c r="K368" s="147">
        <f t="shared" si="22"/>
        <v>0</v>
      </c>
      <c r="L368" s="147">
        <f t="shared" si="22"/>
        <v>0</v>
      </c>
      <c r="M368" s="147">
        <f t="shared" si="22"/>
        <v>0</v>
      </c>
      <c r="N368" s="147">
        <f t="shared" si="22"/>
        <v>0</v>
      </c>
      <c r="O368" s="147">
        <f t="shared" si="22"/>
        <v>0</v>
      </c>
      <c r="P368" s="161"/>
      <c r="Q368" s="161"/>
      <c r="R368" s="161"/>
      <c r="S368" s="161"/>
      <c r="T368" s="161"/>
      <c r="U368" s="161"/>
    </row>
    <row r="369" spans="1:21">
      <c r="A369" s="19"/>
      <c r="B369" s="161" t="s">
        <v>98</v>
      </c>
      <c r="C369" s="161" t="s">
        <v>42</v>
      </c>
      <c r="D369" s="161" t="s">
        <v>43</v>
      </c>
      <c r="E369" s="161" t="s">
        <v>57</v>
      </c>
      <c r="F369" s="161" t="s">
        <v>66</v>
      </c>
      <c r="G369" s="161" t="s">
        <v>69</v>
      </c>
      <c r="H369" s="161" t="s">
        <v>44</v>
      </c>
      <c r="I369" s="161" t="s">
        <v>92</v>
      </c>
      <c r="J369" s="161" t="s">
        <v>1</v>
      </c>
      <c r="K369" s="161" t="s">
        <v>2</v>
      </c>
      <c r="L369" s="161" t="s">
        <v>107</v>
      </c>
      <c r="M369" s="161" t="s">
        <v>95</v>
      </c>
      <c r="N369" s="161" t="s">
        <v>101</v>
      </c>
      <c r="O369" s="161" t="s">
        <v>102</v>
      </c>
      <c r="P369" s="161"/>
      <c r="Q369" s="161"/>
      <c r="R369" s="161"/>
      <c r="S369" s="161"/>
      <c r="T369" s="161"/>
      <c r="U369" s="161"/>
    </row>
    <row r="370" spans="1:21">
      <c r="A370" s="19"/>
      <c r="B370" s="161">
        <v>2.260614417395713</v>
      </c>
      <c r="C370" s="161">
        <v>2.483902694594961E-3</v>
      </c>
      <c r="D370" s="161">
        <v>-2.5188567906745952E-5</v>
      </c>
      <c r="E370" s="161">
        <v>-2.1519218306127986E-6</v>
      </c>
      <c r="F370" s="161">
        <v>4.1511861840165476E-8</v>
      </c>
      <c r="G370" s="161">
        <v>-1.2917558210633823E-3</v>
      </c>
      <c r="H370" s="161">
        <v>2.8698215722414288E-9</v>
      </c>
      <c r="I370" s="161">
        <v>-4.705674518885225E-4</v>
      </c>
      <c r="J370" s="161">
        <v>-2.9520140836304269E-4</v>
      </c>
      <c r="K370" s="161">
        <v>-8.228397282882238E-4</v>
      </c>
      <c r="L370" s="161">
        <v>7.2817929963230188E-11</v>
      </c>
      <c r="M370" s="161">
        <v>4.1050809950147313E-6</v>
      </c>
      <c r="N370" s="161">
        <v>-7.419352948116045E-10</v>
      </c>
      <c r="O370" s="161">
        <v>-6.1630059658453963E-10</v>
      </c>
      <c r="P370" s="161"/>
      <c r="Q370" s="161"/>
      <c r="R370" s="161"/>
      <c r="S370" s="161"/>
      <c r="T370" s="161"/>
      <c r="U370" s="161"/>
    </row>
    <row r="371" spans="1:21">
      <c r="A371" s="19"/>
      <c r="B371" s="161">
        <v>1.7482257300826731E-3</v>
      </c>
      <c r="C371" s="161">
        <v>-2.5188567906745952E-5</v>
      </c>
      <c r="D371" s="161">
        <v>6.4146060430787584E-6</v>
      </c>
      <c r="E371" s="161">
        <v>7.0960086078170119E-8</v>
      </c>
      <c r="F371" s="161">
        <v>-6.8660305287856081E-9</v>
      </c>
      <c r="G371" s="161">
        <v>5.4715678077187414E-6</v>
      </c>
      <c r="H371" s="161">
        <v>-7.2027797497992944E-13</v>
      </c>
      <c r="I371" s="161">
        <v>-6.6562411861839654E-6</v>
      </c>
      <c r="J371" s="161">
        <v>-3.6360710365533075E-6</v>
      </c>
      <c r="K371" s="161">
        <v>4.9261602815245114E-6</v>
      </c>
      <c r="L371" s="161">
        <v>-9.0925417567695522E-12</v>
      </c>
      <c r="M371" s="161">
        <v>-1.6456357610187338E-6</v>
      </c>
      <c r="N371" s="161">
        <v>-1.360136655483506E-11</v>
      </c>
      <c r="O371" s="161">
        <v>4.4752299824553283E-11</v>
      </c>
      <c r="P371" s="161"/>
      <c r="Q371" s="161"/>
      <c r="R371" s="161"/>
      <c r="S371" s="161"/>
      <c r="T371" s="161"/>
      <c r="U371" s="161"/>
    </row>
    <row r="372" spans="1:21">
      <c r="A372" s="19"/>
      <c r="B372" s="161">
        <v>2.1239761795769079E-4</v>
      </c>
      <c r="C372" s="161">
        <v>-2.1519218306127986E-6</v>
      </c>
      <c r="D372" s="161">
        <v>7.0960086078170119E-8</v>
      </c>
      <c r="E372" s="161">
        <v>5.1199661996076638E-9</v>
      </c>
      <c r="F372" s="161">
        <v>-1.2095789117058139E-10</v>
      </c>
      <c r="G372" s="161">
        <v>9.7632519236487483E-8</v>
      </c>
      <c r="H372" s="161">
        <v>-1.0615848847210528E-12</v>
      </c>
      <c r="I372" s="161">
        <v>-4.8279519981865513E-7</v>
      </c>
      <c r="J372" s="161">
        <v>-5.0371045933645819E-7</v>
      </c>
      <c r="K372" s="161">
        <v>6.4309565349439951E-7</v>
      </c>
      <c r="L372" s="161">
        <v>1.7415160201068663E-13</v>
      </c>
      <c r="M372" s="161">
        <v>1.5891070054295138E-9</v>
      </c>
      <c r="N372" s="161">
        <v>1.04533827825042E-12</v>
      </c>
      <c r="O372" s="161">
        <v>5.0863734681045429E-13</v>
      </c>
      <c r="P372" s="161"/>
      <c r="Q372" s="161"/>
      <c r="R372" s="161"/>
      <c r="S372" s="161"/>
      <c r="T372" s="161"/>
      <c r="U372" s="161"/>
    </row>
    <row r="373" spans="1:21">
      <c r="A373" s="19"/>
      <c r="B373" s="161">
        <v>3.9455766941804802E-6</v>
      </c>
      <c r="C373" s="161">
        <v>4.1511861840165476E-8</v>
      </c>
      <c r="D373" s="161">
        <v>-6.8660305287856081E-9</v>
      </c>
      <c r="E373" s="161">
        <v>-1.2095789117058139E-10</v>
      </c>
      <c r="F373" s="161">
        <v>9.9536859929827008E-12</v>
      </c>
      <c r="G373" s="161">
        <v>-6.7644949945768947E-9</v>
      </c>
      <c r="H373" s="161">
        <v>2.0598939706900116E-14</v>
      </c>
      <c r="I373" s="161">
        <v>8.304457723748514E-9</v>
      </c>
      <c r="J373" s="161">
        <v>1.2030979142992787E-8</v>
      </c>
      <c r="K373" s="161">
        <v>-6.4507716713990385E-9</v>
      </c>
      <c r="L373" s="161">
        <v>2.2267943968859697E-14</v>
      </c>
      <c r="M373" s="161">
        <v>2.3857474560803444E-11</v>
      </c>
      <c r="N373" s="161">
        <v>-3.0329349438479044E-14</v>
      </c>
      <c r="O373" s="161">
        <v>-6.4312035545726993E-14</v>
      </c>
      <c r="P373" s="161"/>
      <c r="Q373" s="161"/>
      <c r="R373" s="161"/>
      <c r="S373" s="161"/>
      <c r="T373" s="161"/>
      <c r="U373" s="161"/>
    </row>
    <row r="374" spans="1:21">
      <c r="A374" s="19"/>
      <c r="B374" s="161">
        <v>0.11871588539918083</v>
      </c>
      <c r="C374" s="161">
        <v>-1.2917558210633823E-3</v>
      </c>
      <c r="D374" s="161">
        <v>5.4715678077187414E-6</v>
      </c>
      <c r="E374" s="161">
        <v>9.7632519236487483E-8</v>
      </c>
      <c r="F374" s="161">
        <v>-6.7644949945768947E-9</v>
      </c>
      <c r="G374" s="161">
        <v>2.3083065117980883E-3</v>
      </c>
      <c r="H374" s="161">
        <v>-3.6460077678106697E-9</v>
      </c>
      <c r="I374" s="161">
        <v>2.1201972689555235E-4</v>
      </c>
      <c r="J374" s="161">
        <v>-5.520111291406675E-5</v>
      </c>
      <c r="K374" s="161">
        <v>4.9914155314298176E-5</v>
      </c>
      <c r="L374" s="161">
        <v>-6.3993675442984093E-10</v>
      </c>
      <c r="M374" s="161">
        <v>-1.2610991295821655E-6</v>
      </c>
      <c r="N374" s="161">
        <v>4.3970884626754903E-11</v>
      </c>
      <c r="O374" s="161">
        <v>6.2060982870746573E-10</v>
      </c>
      <c r="P374" s="161"/>
      <c r="Q374" s="161"/>
      <c r="R374" s="161"/>
      <c r="S374" s="161"/>
      <c r="T374" s="161"/>
      <c r="U374" s="161"/>
    </row>
    <row r="375" spans="1:21">
      <c r="A375" s="19"/>
      <c r="B375" s="161">
        <v>2.4041806368355383E-7</v>
      </c>
      <c r="C375" s="161">
        <v>2.8698215722414288E-9</v>
      </c>
      <c r="D375" s="161">
        <v>-7.2027797497992944E-13</v>
      </c>
      <c r="E375" s="161">
        <v>-1.0615848847210528E-12</v>
      </c>
      <c r="F375" s="161">
        <v>2.0598939706900116E-14</v>
      </c>
      <c r="G375" s="161">
        <v>-3.6460077678106697E-9</v>
      </c>
      <c r="H375" s="161">
        <v>3.3513280375451775E-14</v>
      </c>
      <c r="I375" s="161">
        <v>-4.5490071658215366E-10</v>
      </c>
      <c r="J375" s="161">
        <v>-1.2843569441376343E-10</v>
      </c>
      <c r="K375" s="161">
        <v>-3.148416578576696E-10</v>
      </c>
      <c r="L375" s="161">
        <v>-1.4068240544041071E-14</v>
      </c>
      <c r="M375" s="161">
        <v>-1.8743291885703548E-12</v>
      </c>
      <c r="N375" s="161">
        <v>-1.8869150942982561E-14</v>
      </c>
      <c r="O375" s="161">
        <v>-1.9084533470314581E-14</v>
      </c>
      <c r="P375" s="161"/>
      <c r="Q375" s="161"/>
      <c r="R375" s="161"/>
      <c r="S375" s="161"/>
      <c r="T375" s="161"/>
      <c r="U375" s="161"/>
    </row>
    <row r="376" spans="1:21">
      <c r="A376" s="19"/>
      <c r="B376" s="161">
        <v>0.12467002646281151</v>
      </c>
      <c r="C376" s="161">
        <v>-4.705674518885225E-4</v>
      </c>
      <c r="D376" s="161">
        <v>-6.6562411861839654E-6</v>
      </c>
      <c r="E376" s="161">
        <v>-4.8279519981865513E-7</v>
      </c>
      <c r="F376" s="161">
        <v>8.304457723748514E-9</v>
      </c>
      <c r="G376" s="161">
        <v>2.1201972689555235E-4</v>
      </c>
      <c r="H376" s="161">
        <v>-4.5490071658215366E-10</v>
      </c>
      <c r="I376" s="161">
        <v>1.7975020891708273E-3</v>
      </c>
      <c r="J376" s="161">
        <v>-4.8856324763820412E-4</v>
      </c>
      <c r="K376" s="161">
        <v>-6.1979327582957792E-4</v>
      </c>
      <c r="L376" s="161">
        <v>4.979698166586798E-11</v>
      </c>
      <c r="M376" s="161">
        <v>-3.2366279826733075E-6</v>
      </c>
      <c r="N376" s="161">
        <v>-2.1292710827021444E-11</v>
      </c>
      <c r="O376" s="161">
        <v>-4.4788082502366089E-10</v>
      </c>
      <c r="P376" s="161"/>
      <c r="Q376" s="161"/>
      <c r="R376" s="161"/>
      <c r="S376" s="161"/>
      <c r="T376" s="161"/>
      <c r="U376" s="161"/>
    </row>
    <row r="377" spans="1:21" s="164" customFormat="1">
      <c r="A377" s="19"/>
      <c r="B377" s="161">
        <v>-2.5201770279208776E-2</v>
      </c>
      <c r="C377" s="161">
        <v>-2.9520140836304269E-4</v>
      </c>
      <c r="D377" s="161">
        <v>-3.6360710365533075E-6</v>
      </c>
      <c r="E377" s="161">
        <v>-5.0371045933645819E-7</v>
      </c>
      <c r="F377" s="161">
        <v>1.2030979142992787E-8</v>
      </c>
      <c r="G377" s="161">
        <v>-5.520111291406675E-5</v>
      </c>
      <c r="H377" s="161">
        <v>-1.2843569441376343E-10</v>
      </c>
      <c r="I377" s="161">
        <v>-4.8856324763820412E-4</v>
      </c>
      <c r="J377" s="161">
        <v>3.2041235182727586E-3</v>
      </c>
      <c r="K377" s="161">
        <v>8.0400698910694827E-4</v>
      </c>
      <c r="L377" s="161">
        <v>6.2696831222584842E-11</v>
      </c>
      <c r="M377" s="161">
        <v>-4.668389289544519E-6</v>
      </c>
      <c r="N377" s="161">
        <v>1.8769296534327106E-9</v>
      </c>
      <c r="O377" s="161">
        <v>3.7076913538283079E-10</v>
      </c>
      <c r="P377" s="19"/>
      <c r="Q377" s="19"/>
      <c r="R377" s="19"/>
      <c r="S377" s="19"/>
      <c r="T377" s="19"/>
      <c r="U377" s="19"/>
    </row>
    <row r="378" spans="1:21">
      <c r="A378" s="19"/>
      <c r="B378" s="161">
        <v>-9.9924912223449319E-2</v>
      </c>
      <c r="C378" s="161">
        <v>-8.228397282882238E-4</v>
      </c>
      <c r="D378" s="161">
        <v>4.9261602815245114E-6</v>
      </c>
      <c r="E378" s="161">
        <v>6.4309565349439951E-7</v>
      </c>
      <c r="F378" s="161">
        <v>-6.4507716713990385E-9</v>
      </c>
      <c r="G378" s="161">
        <v>4.9914155314298176E-5</v>
      </c>
      <c r="H378" s="161">
        <v>-3.148416578576696E-10</v>
      </c>
      <c r="I378" s="161">
        <v>-6.1979327582957792E-4</v>
      </c>
      <c r="J378" s="161">
        <v>8.0400698910694827E-4</v>
      </c>
      <c r="K378" s="161">
        <v>2.392151865199347E-3</v>
      </c>
      <c r="L378" s="161">
        <v>-5.8212968624925167E-10</v>
      </c>
      <c r="M378" s="161">
        <v>1.7318164140057426E-6</v>
      </c>
      <c r="N378" s="161">
        <v>6.1549170361115833E-10</v>
      </c>
      <c r="O378" s="161">
        <v>-7.9794902972932638E-10</v>
      </c>
      <c r="P378" s="161"/>
      <c r="Q378" s="161"/>
      <c r="R378" s="161"/>
      <c r="S378" s="161"/>
      <c r="T378" s="161"/>
      <c r="U378" s="161"/>
    </row>
    <row r="379" spans="1:21">
      <c r="A379" s="19"/>
      <c r="B379" s="161">
        <v>-1.1259772502071427E-7</v>
      </c>
      <c r="C379" s="161">
        <v>7.2817929963230188E-11</v>
      </c>
      <c r="D379" s="161">
        <v>-9.0925417567695522E-12</v>
      </c>
      <c r="E379" s="161">
        <v>1.7415160201068663E-13</v>
      </c>
      <c r="F379" s="161">
        <v>2.2267943968859697E-14</v>
      </c>
      <c r="G379" s="161">
        <v>-6.3993675442984093E-10</v>
      </c>
      <c r="H379" s="161">
        <v>-1.4068240544041071E-14</v>
      </c>
      <c r="I379" s="161">
        <v>4.979698166586798E-11</v>
      </c>
      <c r="J379" s="161">
        <v>6.2696831222584842E-11</v>
      </c>
      <c r="K379" s="161">
        <v>-5.8212968624925167E-10</v>
      </c>
      <c r="L379" s="161">
        <v>5.4005855225121695E-14</v>
      </c>
      <c r="M379" s="161">
        <v>-2.4248864156698307E-11</v>
      </c>
      <c r="N379" s="161">
        <v>-1.748225098580058E-14</v>
      </c>
      <c r="O379" s="161">
        <v>-1.8381840102508704E-14</v>
      </c>
      <c r="P379" s="161"/>
      <c r="Q379" s="161"/>
      <c r="R379" s="161"/>
      <c r="S379" s="161"/>
      <c r="T379" s="161"/>
      <c r="U379" s="161"/>
    </row>
    <row r="380" spans="1:21">
      <c r="A380" s="19"/>
      <c r="B380" s="161">
        <v>2.2684378244321977E-3</v>
      </c>
      <c r="C380" s="161">
        <v>4.1050809950147313E-6</v>
      </c>
      <c r="D380" s="161">
        <v>-1.6456357610187338E-6</v>
      </c>
      <c r="E380" s="161">
        <v>1.5891070054295138E-9</v>
      </c>
      <c r="F380" s="161">
        <v>2.3857474560803444E-11</v>
      </c>
      <c r="G380" s="161">
        <v>-1.2610991295821655E-6</v>
      </c>
      <c r="H380" s="161">
        <v>-1.8743291885703548E-12</v>
      </c>
      <c r="I380" s="161">
        <v>-3.2366279826733075E-6</v>
      </c>
      <c r="J380" s="161">
        <v>-4.668389289544519E-6</v>
      </c>
      <c r="K380" s="161">
        <v>1.7318164140057426E-6</v>
      </c>
      <c r="L380" s="161">
        <v>-2.4248864156698307E-11</v>
      </c>
      <c r="M380" s="161">
        <v>3.2727617586292576E-6</v>
      </c>
      <c r="N380" s="161">
        <v>3.6873576590000047E-11</v>
      </c>
      <c r="O380" s="161">
        <v>2.9534277436816498E-11</v>
      </c>
      <c r="P380" s="161"/>
      <c r="Q380" s="161"/>
      <c r="R380" s="161"/>
      <c r="S380" s="161"/>
      <c r="T380" s="161"/>
      <c r="U380" s="161"/>
    </row>
    <row r="381" spans="1:21">
      <c r="A381" s="19"/>
      <c r="B381" s="161">
        <v>-1.7444844637435506E-7</v>
      </c>
      <c r="C381" s="161">
        <v>-7.419352948116045E-10</v>
      </c>
      <c r="D381" s="161">
        <v>-1.360136655483506E-11</v>
      </c>
      <c r="E381" s="161">
        <v>1.04533827825042E-12</v>
      </c>
      <c r="F381" s="161">
        <v>-3.0329349438479044E-14</v>
      </c>
      <c r="G381" s="161">
        <v>4.3970884626754903E-11</v>
      </c>
      <c r="H381" s="161">
        <v>-1.8869150942982561E-14</v>
      </c>
      <c r="I381" s="161">
        <v>-2.1292710827021444E-11</v>
      </c>
      <c r="J381" s="161">
        <v>1.8769296534327106E-9</v>
      </c>
      <c r="K381" s="161">
        <v>6.1549170361115833E-10</v>
      </c>
      <c r="L381" s="161">
        <v>-1.748225098580058E-14</v>
      </c>
      <c r="M381" s="161">
        <v>3.6873576590000047E-11</v>
      </c>
      <c r="N381" s="161">
        <v>1.0191963341719505E-13</v>
      </c>
      <c r="O381" s="161">
        <v>2.9204287275461086E-14</v>
      </c>
      <c r="P381" s="161"/>
      <c r="Q381" s="161"/>
      <c r="R381" s="161"/>
      <c r="S381" s="161"/>
      <c r="T381" s="161"/>
      <c r="U381" s="161"/>
    </row>
    <row r="382" spans="1:21">
      <c r="A382" s="19"/>
      <c r="B382" s="161">
        <v>-2.0477884571191026E-7</v>
      </c>
      <c r="C382" s="161">
        <v>-6.1630059658453963E-10</v>
      </c>
      <c r="D382" s="161">
        <v>4.4752299824553283E-11</v>
      </c>
      <c r="E382" s="161">
        <v>5.0863734681045429E-13</v>
      </c>
      <c r="F382" s="161">
        <v>-6.4312035545726993E-14</v>
      </c>
      <c r="G382" s="161">
        <v>6.2060982870746573E-10</v>
      </c>
      <c r="H382" s="161">
        <v>-1.9084533470314581E-14</v>
      </c>
      <c r="I382" s="161">
        <v>-4.4788082502366089E-10</v>
      </c>
      <c r="J382" s="161">
        <v>3.7076913538283079E-10</v>
      </c>
      <c r="K382" s="161">
        <v>-7.9794902972932638E-10</v>
      </c>
      <c r="L382" s="161">
        <v>-1.8381840102508704E-14</v>
      </c>
      <c r="M382" s="161">
        <v>2.9534277436816498E-11</v>
      </c>
      <c r="N382" s="161">
        <v>2.9204287275461086E-14</v>
      </c>
      <c r="O382" s="161">
        <v>6.6970772396249519E-14</v>
      </c>
      <c r="P382" s="161"/>
      <c r="Q382" s="161"/>
      <c r="R382" s="161"/>
      <c r="S382" s="161"/>
      <c r="T382" s="161"/>
      <c r="U382" s="161"/>
    </row>
    <row r="383" spans="1:21">
      <c r="A383" s="19"/>
      <c r="B383" s="161"/>
      <c r="C383" s="161"/>
      <c r="D383" s="161"/>
      <c r="E383" s="161"/>
      <c r="F383" s="161"/>
      <c r="G383" s="161"/>
      <c r="H383" s="161"/>
      <c r="I383" s="161"/>
      <c r="J383" s="161"/>
      <c r="K383" s="161"/>
      <c r="L383" s="161"/>
      <c r="M383" s="161"/>
      <c r="N383" s="161"/>
      <c r="O383" s="161"/>
      <c r="P383" s="161"/>
      <c r="Q383" s="161"/>
      <c r="R383" s="161"/>
      <c r="S383" s="161"/>
      <c r="T383" s="161"/>
      <c r="U383" s="161"/>
    </row>
    <row r="384" spans="1:21">
      <c r="A384" s="19" t="s">
        <v>123</v>
      </c>
      <c r="B384" s="161" t="s">
        <v>97</v>
      </c>
      <c r="C384" s="147">
        <f t="shared" ref="C384:P384" si="23">IF(C385="B0",$E$2,
IF(C385="agec",$F$2,
IF(C385="agec2",$G$2,
IF(C385="agec3",$H$2,
IF(C385="sexq",$I$2,
IF(C385="tivc",$J$2,
IF(C385="tivc2",$K$2,
IF(C385="tivc3",$L$2,
IF(C385="MFSq",$M$2,
IF(C385="GE",$N$2,
IF(C385="Philips",$O$2,
IF(C385="GE_X_MFSq",$P$2,
IF(C385="Philips_X_MFSq",$Q$2,
IF(C385="tivc_X_MFSq",$R$2,
IF(C385="agec_X_sexq",$S$2,
IF(C385="tivc_X_GE",$T$2,
IF(C385="tivc_X_Philips",$U$2, "Error"
)))))))))))))))))</f>
        <v>1</v>
      </c>
      <c r="D384" s="147">
        <f t="shared" si="23"/>
        <v>-47.563461699999998</v>
      </c>
      <c r="E384" s="147">
        <f t="shared" si="23"/>
        <v>2262.2828888873669</v>
      </c>
      <c r="F384" s="147">
        <f t="shared" si="23"/>
        <v>-107602.00554015962</v>
      </c>
      <c r="G384" s="147">
        <f t="shared" si="23"/>
        <v>0</v>
      </c>
      <c r="H384" s="147">
        <f t="shared" si="23"/>
        <v>-1521907.28</v>
      </c>
      <c r="I384" s="147">
        <f t="shared" si="23"/>
        <v>2316201768916.9985</v>
      </c>
      <c r="J384" s="147">
        <f t="shared" si="23"/>
        <v>0</v>
      </c>
      <c r="K384" s="147">
        <f t="shared" si="23"/>
        <v>0</v>
      </c>
      <c r="L384" s="147">
        <f t="shared" si="23"/>
        <v>0</v>
      </c>
      <c r="M384" s="147">
        <f t="shared" si="23"/>
        <v>0</v>
      </c>
      <c r="N384" s="147">
        <f t="shared" si="23"/>
        <v>0</v>
      </c>
      <c r="O384" s="147">
        <f t="shared" si="23"/>
        <v>0</v>
      </c>
      <c r="P384" s="147">
        <f t="shared" si="23"/>
        <v>0</v>
      </c>
      <c r="Q384" s="161"/>
      <c r="R384" s="161"/>
      <c r="S384" s="161"/>
      <c r="T384" s="161"/>
      <c r="U384" s="161"/>
    </row>
    <row r="385" spans="1:21">
      <c r="A385" s="19"/>
      <c r="B385" s="161" t="s">
        <v>98</v>
      </c>
      <c r="C385" s="161" t="s">
        <v>42</v>
      </c>
      <c r="D385" s="161" t="s">
        <v>43</v>
      </c>
      <c r="E385" s="161" t="s">
        <v>57</v>
      </c>
      <c r="F385" s="161" t="s">
        <v>66</v>
      </c>
      <c r="G385" s="161" t="s">
        <v>69</v>
      </c>
      <c r="H385" s="161" t="s">
        <v>44</v>
      </c>
      <c r="I385" s="161" t="s">
        <v>45</v>
      </c>
      <c r="J385" s="161" t="s">
        <v>92</v>
      </c>
      <c r="K385" s="161" t="s">
        <v>1</v>
      </c>
      <c r="L385" s="161" t="s">
        <v>2</v>
      </c>
      <c r="M385" s="161" t="s">
        <v>93</v>
      </c>
      <c r="N385" s="161" t="s">
        <v>94</v>
      </c>
      <c r="O385" s="161" t="s">
        <v>107</v>
      </c>
      <c r="P385" s="161" t="s">
        <v>95</v>
      </c>
      <c r="Q385" s="161"/>
      <c r="R385" s="161"/>
      <c r="S385" s="161"/>
      <c r="T385" s="161"/>
      <c r="U385" s="161"/>
    </row>
    <row r="386" spans="1:21">
      <c r="A386" s="19"/>
      <c r="B386" s="161">
        <v>2.9620014488272588</v>
      </c>
      <c r="C386" s="161">
        <v>2.8526496234661928E-3</v>
      </c>
      <c r="D386" s="161">
        <v>-2.4697530242912919E-5</v>
      </c>
      <c r="E386" s="161">
        <v>-2.1554556384596036E-6</v>
      </c>
      <c r="F386" s="161">
        <v>4.2374127010424431E-8</v>
      </c>
      <c r="G386" s="161">
        <v>-1.3253708124599955E-3</v>
      </c>
      <c r="H386" s="161">
        <v>2.6591611679466893E-9</v>
      </c>
      <c r="I386" s="161">
        <v>-6.8049223870327649E-15</v>
      </c>
      <c r="J386" s="161">
        <v>-9.5474842641406123E-4</v>
      </c>
      <c r="K386" s="161">
        <v>-1.0118835827902881E-3</v>
      </c>
      <c r="L386" s="161">
        <v>-1.109507762567172E-3</v>
      </c>
      <c r="M386" s="161">
        <v>1.4097366302173019E-3</v>
      </c>
      <c r="N386" s="161">
        <v>7.2167092295739215E-4</v>
      </c>
      <c r="O386" s="161">
        <v>3.1346195403972493E-10</v>
      </c>
      <c r="P386" s="161">
        <v>1.8900911836229498E-6</v>
      </c>
      <c r="Q386" s="161"/>
      <c r="R386" s="161"/>
      <c r="S386" s="161"/>
      <c r="T386" s="161"/>
      <c r="U386" s="161"/>
    </row>
    <row r="387" spans="1:21">
      <c r="A387" s="19"/>
      <c r="B387" s="161">
        <v>5.5692061063679554E-3</v>
      </c>
      <c r="C387" s="161">
        <v>-2.4697530242912919E-5</v>
      </c>
      <c r="D387" s="161">
        <v>6.3902654487639802E-6</v>
      </c>
      <c r="E387" s="161">
        <v>7.1547757683389615E-8</v>
      </c>
      <c r="F387" s="161">
        <v>-6.8312867700361248E-9</v>
      </c>
      <c r="G387" s="161">
        <v>5.6108296726243554E-6</v>
      </c>
      <c r="H387" s="161">
        <v>7.4240231512250346E-12</v>
      </c>
      <c r="I387" s="161">
        <v>1.3079166210892286E-17</v>
      </c>
      <c r="J387" s="161">
        <v>-1.049163331663024E-5</v>
      </c>
      <c r="K387" s="161">
        <v>-5.6231875248176454E-7</v>
      </c>
      <c r="L387" s="161">
        <v>-1.3253393478497724E-6</v>
      </c>
      <c r="M387" s="161">
        <v>-6.2021603999193642E-7</v>
      </c>
      <c r="N387" s="161">
        <v>1.3951097947645585E-5</v>
      </c>
      <c r="O387" s="161">
        <v>-5.2775239042271423E-12</v>
      </c>
      <c r="P387" s="161">
        <v>-1.66814463552744E-6</v>
      </c>
      <c r="Q387" s="161"/>
      <c r="R387" s="161"/>
      <c r="S387" s="161"/>
      <c r="T387" s="161"/>
      <c r="U387" s="161"/>
    </row>
    <row r="388" spans="1:21">
      <c r="A388" s="19"/>
      <c r="B388" s="161">
        <v>9.608167038250735E-5</v>
      </c>
      <c r="C388" s="161">
        <v>-2.1554556384596036E-6</v>
      </c>
      <c r="D388" s="161">
        <v>7.1547757683389615E-8</v>
      </c>
      <c r="E388" s="161">
        <v>5.1345708491374664E-9</v>
      </c>
      <c r="F388" s="161">
        <v>-1.2056074906538303E-10</v>
      </c>
      <c r="G388" s="161">
        <v>1.2979963996963043E-7</v>
      </c>
      <c r="H388" s="161">
        <v>-7.5942698289987373E-13</v>
      </c>
      <c r="I388" s="161">
        <v>3.3957885303600583E-19</v>
      </c>
      <c r="J388" s="161">
        <v>-5.6929501563351322E-7</v>
      </c>
      <c r="K388" s="161">
        <v>-1.8898669688590237E-7</v>
      </c>
      <c r="L388" s="161">
        <v>3.1656937023952236E-7</v>
      </c>
      <c r="M388" s="161">
        <v>-4.2652923309500186E-7</v>
      </c>
      <c r="N388" s="161">
        <v>5.5974075458967124E-7</v>
      </c>
      <c r="O388" s="161">
        <v>1.388752093073879E-13</v>
      </c>
      <c r="P388" s="161">
        <v>6.484530205210032E-10</v>
      </c>
      <c r="Q388" s="161"/>
      <c r="R388" s="161"/>
      <c r="S388" s="161"/>
      <c r="T388" s="161"/>
      <c r="U388" s="161"/>
    </row>
    <row r="389" spans="1:21">
      <c r="A389" s="19"/>
      <c r="B389" s="161">
        <v>-4.3230148684234146E-7</v>
      </c>
      <c r="C389" s="161">
        <v>4.2374127010424431E-8</v>
      </c>
      <c r="D389" s="161">
        <v>-6.8312867700361248E-9</v>
      </c>
      <c r="E389" s="161">
        <v>-1.2056074906538303E-10</v>
      </c>
      <c r="F389" s="161">
        <v>9.9005961848396626E-12</v>
      </c>
      <c r="G389" s="161">
        <v>-7.1781727146208866E-9</v>
      </c>
      <c r="H389" s="161">
        <v>1.4962895801339081E-15</v>
      </c>
      <c r="I389" s="161">
        <v>-2.226597871893684E-20</v>
      </c>
      <c r="J389" s="161">
        <v>7.4200841823268792E-9</v>
      </c>
      <c r="K389" s="161">
        <v>1.5031542959843498E-9</v>
      </c>
      <c r="L389" s="161">
        <v>-2.620922095873413E-9</v>
      </c>
      <c r="M389" s="161">
        <v>1.5288312643220284E-8</v>
      </c>
      <c r="N389" s="161">
        <v>-7.3423818353612389E-9</v>
      </c>
      <c r="O389" s="161">
        <v>1.0463341371953486E-14</v>
      </c>
      <c r="P389" s="161">
        <v>5.4685538777262476E-11</v>
      </c>
      <c r="Q389" s="161"/>
      <c r="R389" s="161"/>
      <c r="S389" s="161"/>
      <c r="T389" s="161"/>
      <c r="U389" s="161"/>
    </row>
    <row r="390" spans="1:21">
      <c r="A390" s="19"/>
      <c r="B390" s="161">
        <v>4.1143996843478498E-2</v>
      </c>
      <c r="C390" s="161">
        <v>-1.3253708124599955E-3</v>
      </c>
      <c r="D390" s="161">
        <v>5.6108296726243554E-6</v>
      </c>
      <c r="E390" s="161">
        <v>1.2979963996963043E-7</v>
      </c>
      <c r="F390" s="161">
        <v>-7.1781727146208866E-9</v>
      </c>
      <c r="G390" s="161">
        <v>2.3149908429276225E-3</v>
      </c>
      <c r="H390" s="161">
        <v>-3.5457948000830699E-9</v>
      </c>
      <c r="I390" s="161">
        <v>3.076777869478946E-16</v>
      </c>
      <c r="J390" s="161">
        <v>2.3982142311170925E-4</v>
      </c>
      <c r="K390" s="161">
        <v>1.6100099248799951E-4</v>
      </c>
      <c r="L390" s="161">
        <v>-2.4603361377363789E-5</v>
      </c>
      <c r="M390" s="161">
        <v>-3.6838488446422818E-4</v>
      </c>
      <c r="N390" s="161">
        <v>1.3334781780204144E-4</v>
      </c>
      <c r="O390" s="161">
        <v>-5.4830439642610983E-10</v>
      </c>
      <c r="P390" s="161">
        <v>-1.3219630097048262E-6</v>
      </c>
      <c r="Q390" s="161"/>
      <c r="R390" s="161"/>
      <c r="S390" s="161"/>
      <c r="T390" s="161"/>
      <c r="U390" s="161"/>
    </row>
    <row r="391" spans="1:21">
      <c r="A391" s="19"/>
      <c r="B391" s="161">
        <v>2.9848540778200753E-7</v>
      </c>
      <c r="C391" s="161">
        <v>2.6591611679466893E-9</v>
      </c>
      <c r="D391" s="161">
        <v>7.4240231512250346E-12</v>
      </c>
      <c r="E391" s="161">
        <v>-7.5942698289987373E-13</v>
      </c>
      <c r="F391" s="161">
        <v>1.4962895801339081E-15</v>
      </c>
      <c r="G391" s="161">
        <v>-3.5457948000830699E-9</v>
      </c>
      <c r="H391" s="161">
        <v>2.7811357757770713E-14</v>
      </c>
      <c r="I391" s="161">
        <v>4.6146908276459381E-22</v>
      </c>
      <c r="J391" s="161">
        <v>-7.4464924453059419E-10</v>
      </c>
      <c r="K391" s="161">
        <v>-1.1380394203260337E-10</v>
      </c>
      <c r="L391" s="161">
        <v>-8.1462400985638852E-10</v>
      </c>
      <c r="M391" s="161">
        <v>5.2434193527019142E-10</v>
      </c>
      <c r="N391" s="161">
        <v>6.0991751004045086E-10</v>
      </c>
      <c r="O391" s="161">
        <v>-2.1432917939013231E-14</v>
      </c>
      <c r="P391" s="161">
        <v>1.1292683351236929E-11</v>
      </c>
      <c r="Q391" s="161"/>
      <c r="R391" s="161"/>
      <c r="S391" s="161"/>
      <c r="T391" s="161"/>
      <c r="U391" s="161"/>
    </row>
    <row r="392" spans="1:21">
      <c r="A392" s="19"/>
      <c r="B392" s="161">
        <v>-1.0607903948465837E-13</v>
      </c>
      <c r="C392" s="161">
        <v>-6.8049223870327649E-15</v>
      </c>
      <c r="D392" s="161">
        <v>1.3079166210892286E-17</v>
      </c>
      <c r="E392" s="161">
        <v>3.3957885303600583E-19</v>
      </c>
      <c r="F392" s="161">
        <v>-2.226597871893684E-20</v>
      </c>
      <c r="G392" s="161">
        <v>3.076777869478946E-16</v>
      </c>
      <c r="H392" s="161">
        <v>4.6146908276459381E-22</v>
      </c>
      <c r="I392" s="161">
        <v>2.1297328137795204E-25</v>
      </c>
      <c r="J392" s="161">
        <v>7.7826881122899504E-16</v>
      </c>
      <c r="K392" s="161">
        <v>-5.8900300635564421E-16</v>
      </c>
      <c r="L392" s="161">
        <v>-1.4380581489153441E-15</v>
      </c>
      <c r="M392" s="161">
        <v>-7.5346085634223979E-16</v>
      </c>
      <c r="N392" s="161">
        <v>3.6054863094390684E-16</v>
      </c>
      <c r="O392" s="161">
        <v>-1.5641874897960072E-20</v>
      </c>
      <c r="P392" s="161">
        <v>5.5022831131225731E-17</v>
      </c>
      <c r="Q392" s="161"/>
      <c r="R392" s="161"/>
      <c r="S392" s="161"/>
      <c r="T392" s="161"/>
      <c r="U392" s="161"/>
    </row>
    <row r="393" spans="1:21">
      <c r="A393" s="19"/>
      <c r="B393" s="161">
        <v>4.3931936329362296E-3</v>
      </c>
      <c r="C393" s="161">
        <v>-9.5474842641406123E-4</v>
      </c>
      <c r="D393" s="161">
        <v>-1.049163331663024E-5</v>
      </c>
      <c r="E393" s="161">
        <v>-5.6929501563351322E-7</v>
      </c>
      <c r="F393" s="161">
        <v>7.4200841823268792E-9</v>
      </c>
      <c r="G393" s="161">
        <v>2.3982142311170925E-4</v>
      </c>
      <c r="H393" s="161">
        <v>-7.4464924453059419E-10</v>
      </c>
      <c r="I393" s="161">
        <v>7.7826881122899504E-16</v>
      </c>
      <c r="J393" s="161">
        <v>3.3322306904912274E-3</v>
      </c>
      <c r="K393" s="161">
        <v>1.064297793650446E-3</v>
      </c>
      <c r="L393" s="161">
        <v>9.8964494599609095E-4</v>
      </c>
      <c r="M393" s="161">
        <v>-3.2089754585028136E-3</v>
      </c>
      <c r="N393" s="161">
        <v>-3.3112092226138829E-3</v>
      </c>
      <c r="O393" s="161">
        <v>4.664122738346832E-10</v>
      </c>
      <c r="P393" s="161">
        <v>5.9852278190799816E-7</v>
      </c>
      <c r="Q393" s="161"/>
      <c r="R393" s="161"/>
      <c r="S393" s="161"/>
      <c r="T393" s="161"/>
      <c r="U393" s="161"/>
    </row>
    <row r="394" spans="1:21">
      <c r="A394" s="19"/>
      <c r="B394" s="161">
        <v>4.6000099906700724E-2</v>
      </c>
      <c r="C394" s="161">
        <v>-1.0118835827902881E-3</v>
      </c>
      <c r="D394" s="161">
        <v>-5.6231875248176454E-7</v>
      </c>
      <c r="E394" s="161">
        <v>-1.8898669688590237E-7</v>
      </c>
      <c r="F394" s="161">
        <v>1.5031542959843498E-9</v>
      </c>
      <c r="G394" s="161">
        <v>1.6100099248799951E-4</v>
      </c>
      <c r="H394" s="161">
        <v>-1.1380394203260337E-10</v>
      </c>
      <c r="I394" s="161">
        <v>-5.8900300635564421E-16</v>
      </c>
      <c r="J394" s="161">
        <v>1.064297793650446E-3</v>
      </c>
      <c r="K394" s="161">
        <v>7.0334183250316462E-3</v>
      </c>
      <c r="L394" s="161">
        <v>1.0052716811132267E-3</v>
      </c>
      <c r="M394" s="161">
        <v>-7.0222414065838163E-3</v>
      </c>
      <c r="N394" s="161">
        <v>-1.0367677942696228E-3</v>
      </c>
      <c r="O394" s="161">
        <v>-1.1487733412626893E-10</v>
      </c>
      <c r="P394" s="161">
        <v>-1.2701402456973075E-6</v>
      </c>
      <c r="Q394" s="161"/>
      <c r="R394" s="161"/>
      <c r="S394" s="161"/>
      <c r="T394" s="161"/>
      <c r="U394" s="161"/>
    </row>
    <row r="395" spans="1:21" s="164" customFormat="1">
      <c r="A395" s="19"/>
      <c r="B395" s="161">
        <v>1.1931717048031774E-3</v>
      </c>
      <c r="C395" s="161">
        <v>-1.109507762567172E-3</v>
      </c>
      <c r="D395" s="161">
        <v>-1.3253393478497724E-6</v>
      </c>
      <c r="E395" s="161">
        <v>3.1656937023952236E-7</v>
      </c>
      <c r="F395" s="161">
        <v>-2.620922095873413E-9</v>
      </c>
      <c r="G395" s="161">
        <v>-2.4603361377363789E-5</v>
      </c>
      <c r="H395" s="161">
        <v>-8.1462400985638852E-10</v>
      </c>
      <c r="I395" s="161">
        <v>-1.4380581489153441E-15</v>
      </c>
      <c r="J395" s="161">
        <v>9.8964494599609095E-4</v>
      </c>
      <c r="K395" s="161">
        <v>1.0052716811132267E-3</v>
      </c>
      <c r="L395" s="161">
        <v>4.9972424557660081E-3</v>
      </c>
      <c r="M395" s="161">
        <v>-1.043275591636622E-3</v>
      </c>
      <c r="N395" s="161">
        <v>-4.9327311945208344E-3</v>
      </c>
      <c r="O395" s="161">
        <v>9.1945206101050518E-10</v>
      </c>
      <c r="P395" s="161">
        <v>4.11009960192097E-6</v>
      </c>
      <c r="Q395" s="19"/>
      <c r="R395" s="19"/>
      <c r="S395" s="19"/>
      <c r="T395" s="19"/>
      <c r="U395" s="19"/>
    </row>
    <row r="396" spans="1:21">
      <c r="A396" s="19"/>
      <c r="B396" s="161">
        <v>-5.2029269135506082E-2</v>
      </c>
      <c r="C396" s="161">
        <v>1.4097366302173019E-3</v>
      </c>
      <c r="D396" s="161">
        <v>-6.2021603999193642E-7</v>
      </c>
      <c r="E396" s="161">
        <v>-4.2652923309500186E-7</v>
      </c>
      <c r="F396" s="161">
        <v>1.5288312643220284E-8</v>
      </c>
      <c r="G396" s="161">
        <v>-3.6838488446422818E-4</v>
      </c>
      <c r="H396" s="161">
        <v>5.2434193527019142E-10</v>
      </c>
      <c r="I396" s="161">
        <v>-7.5346085634223979E-16</v>
      </c>
      <c r="J396" s="161">
        <v>-3.2089754585028136E-3</v>
      </c>
      <c r="K396" s="161">
        <v>-7.0222414065838163E-3</v>
      </c>
      <c r="L396" s="161">
        <v>-1.043275591636622E-3</v>
      </c>
      <c r="M396" s="161">
        <v>1.2800436962774527E-2</v>
      </c>
      <c r="N396" s="161">
        <v>3.1417625672733852E-3</v>
      </c>
      <c r="O396" s="161">
        <v>6.4449687476349659E-10</v>
      </c>
      <c r="P396" s="161">
        <v>-8.288312523967247E-6</v>
      </c>
      <c r="Q396" s="161"/>
      <c r="R396" s="161"/>
      <c r="S396" s="161"/>
      <c r="T396" s="161"/>
      <c r="U396" s="161"/>
    </row>
    <row r="397" spans="1:21">
      <c r="A397" s="19"/>
      <c r="B397" s="161">
        <v>-3.2846264900267846E-2</v>
      </c>
      <c r="C397" s="161">
        <v>7.2167092295739215E-4</v>
      </c>
      <c r="D397" s="161">
        <v>1.3951097947645585E-5</v>
      </c>
      <c r="E397" s="161">
        <v>5.5974075458967124E-7</v>
      </c>
      <c r="F397" s="161">
        <v>-7.3423818353612389E-9</v>
      </c>
      <c r="G397" s="161">
        <v>1.3334781780204144E-4</v>
      </c>
      <c r="H397" s="161">
        <v>6.0991751004045086E-10</v>
      </c>
      <c r="I397" s="161">
        <v>3.6054863094390684E-16</v>
      </c>
      <c r="J397" s="161">
        <v>-3.3112092226138829E-3</v>
      </c>
      <c r="K397" s="161">
        <v>-1.0367677942696228E-3</v>
      </c>
      <c r="L397" s="161">
        <v>-4.9327311945208344E-3</v>
      </c>
      <c r="M397" s="161">
        <v>3.1417625672733852E-3</v>
      </c>
      <c r="N397" s="161">
        <v>9.4314435943947221E-3</v>
      </c>
      <c r="O397" s="161">
        <v>-2.6300287150215084E-9</v>
      </c>
      <c r="P397" s="161">
        <v>-6.2994941753644284E-6</v>
      </c>
      <c r="Q397" s="161"/>
      <c r="R397" s="161"/>
      <c r="S397" s="161"/>
      <c r="T397" s="161"/>
      <c r="U397" s="161"/>
    </row>
    <row r="398" spans="1:21">
      <c r="A398" s="19"/>
      <c r="B398" s="161">
        <v>4.5289510162333692E-8</v>
      </c>
      <c r="C398" s="161">
        <v>3.1346195403972493E-10</v>
      </c>
      <c r="D398" s="161">
        <v>-5.2775239042271423E-12</v>
      </c>
      <c r="E398" s="161">
        <v>1.388752093073879E-13</v>
      </c>
      <c r="F398" s="161">
        <v>1.0463341371953486E-14</v>
      </c>
      <c r="G398" s="161">
        <v>-5.4830439642610983E-10</v>
      </c>
      <c r="H398" s="161">
        <v>-2.1432917939013231E-14</v>
      </c>
      <c r="I398" s="161">
        <v>-1.5641874897960072E-20</v>
      </c>
      <c r="J398" s="161">
        <v>4.664122738346832E-10</v>
      </c>
      <c r="K398" s="161">
        <v>-1.1487733412626893E-10</v>
      </c>
      <c r="L398" s="161">
        <v>9.1945206101050518E-10</v>
      </c>
      <c r="M398" s="161">
        <v>6.4449687476349659E-10</v>
      </c>
      <c r="N398" s="161">
        <v>-2.6300287150215084E-9</v>
      </c>
      <c r="O398" s="161">
        <v>5.0461498896188904E-14</v>
      </c>
      <c r="P398" s="161">
        <v>-1.7862822735208475E-11</v>
      </c>
      <c r="Q398" s="161"/>
      <c r="R398" s="161"/>
      <c r="S398" s="161"/>
      <c r="T398" s="161"/>
      <c r="U398" s="161"/>
    </row>
    <row r="399" spans="1:21">
      <c r="A399" s="19"/>
      <c r="B399" s="161">
        <v>8.5982129253841947E-4</v>
      </c>
      <c r="C399" s="161">
        <v>1.8900911836229498E-6</v>
      </c>
      <c r="D399" s="161">
        <v>-1.66814463552744E-6</v>
      </c>
      <c r="E399" s="161">
        <v>6.484530205210032E-10</v>
      </c>
      <c r="F399" s="161">
        <v>5.4685538777262476E-11</v>
      </c>
      <c r="G399" s="161">
        <v>-1.3219630097048262E-6</v>
      </c>
      <c r="H399" s="161">
        <v>1.1292683351236929E-11</v>
      </c>
      <c r="I399" s="161">
        <v>5.5022831131225731E-17</v>
      </c>
      <c r="J399" s="161">
        <v>5.9852278190799816E-7</v>
      </c>
      <c r="K399" s="161">
        <v>-1.2701402456973075E-6</v>
      </c>
      <c r="L399" s="161">
        <v>4.11009960192097E-6</v>
      </c>
      <c r="M399" s="161">
        <v>-8.288312523967247E-6</v>
      </c>
      <c r="N399" s="161">
        <v>-6.2994941753644284E-6</v>
      </c>
      <c r="O399" s="161">
        <v>-1.7862822735208475E-11</v>
      </c>
      <c r="P399" s="161">
        <v>3.2730835344324889E-6</v>
      </c>
      <c r="Q399" s="161"/>
      <c r="R399" s="161"/>
      <c r="S399" s="161"/>
      <c r="T399" s="161"/>
      <c r="U399" s="161"/>
    </row>
    <row r="400" spans="1:21">
      <c r="A400" s="19"/>
      <c r="B400" s="161"/>
      <c r="C400" s="161"/>
      <c r="D400" s="161"/>
      <c r="E400" s="161"/>
      <c r="F400" s="161"/>
      <c r="G400" s="161"/>
      <c r="H400" s="161"/>
      <c r="I400" s="161"/>
      <c r="J400" s="161"/>
      <c r="K400" s="161"/>
      <c r="L400" s="161"/>
      <c r="M400" s="161"/>
      <c r="N400" s="161"/>
      <c r="O400" s="161"/>
      <c r="P400" s="161"/>
      <c r="Q400" s="161"/>
      <c r="R400" s="161"/>
      <c r="S400" s="161"/>
      <c r="T400" s="161"/>
      <c r="U400" s="161"/>
    </row>
    <row r="401" spans="1:21">
      <c r="A401" s="19" t="s">
        <v>124</v>
      </c>
      <c r="B401" s="161" t="s">
        <v>97</v>
      </c>
      <c r="C401" s="147">
        <f t="shared" ref="C401:N401" si="24">IF(C402="B0",$E$2,
IF(C402="agec",$F$2,
IF(C402="agec2",$G$2,
IF(C402="agec3",$H$2,
IF(C402="sexq",$I$2,
IF(C402="tivc",$J$2,
IF(C402="tivc2",$K$2,
IF(C402="tivc3",$L$2,
IF(C402="MFSq",$M$2,
IF(C402="GE",$N$2,
IF(C402="Philips",$O$2,
IF(C402="GE_X_MFSq",$P$2,
IF(C402="Philips_X_MFSq",$Q$2,
IF(C402="tivc_X_MFSq",$R$2,
IF(C402="agec_X_sexq",$S$2,
IF(C402="tivc_X_GE",$T$2,
IF(C402="tivc_X_Philips",$U$2, "Error"
)))))))))))))))))</f>
        <v>1</v>
      </c>
      <c r="D401" s="147">
        <f t="shared" si="24"/>
        <v>-47.563461699999998</v>
      </c>
      <c r="E401" s="147">
        <f t="shared" si="24"/>
        <v>2262.2828888873669</v>
      </c>
      <c r="F401" s="147">
        <f t="shared" si="24"/>
        <v>0</v>
      </c>
      <c r="G401" s="147">
        <f t="shared" si="24"/>
        <v>-1521907.28</v>
      </c>
      <c r="H401" s="147">
        <f t="shared" si="24"/>
        <v>2316201768916.9985</v>
      </c>
      <c r="I401" s="147">
        <f t="shared" si="24"/>
        <v>-3.525044334063658E+18</v>
      </c>
      <c r="J401" s="147">
        <f t="shared" si="24"/>
        <v>0</v>
      </c>
      <c r="K401" s="147">
        <f t="shared" si="24"/>
        <v>0</v>
      </c>
      <c r="L401" s="147">
        <f t="shared" si="24"/>
        <v>0</v>
      </c>
      <c r="M401" s="147">
        <f t="shared" si="24"/>
        <v>0</v>
      </c>
      <c r="N401" s="147">
        <f t="shared" si="24"/>
        <v>0</v>
      </c>
      <c r="O401" s="161"/>
      <c r="P401" s="161"/>
      <c r="Q401" s="161"/>
      <c r="R401" s="161"/>
      <c r="S401" s="161"/>
      <c r="T401" s="161"/>
      <c r="U401" s="161"/>
    </row>
    <row r="402" spans="1:21">
      <c r="A402" s="19"/>
      <c r="B402" s="161" t="s">
        <v>98</v>
      </c>
      <c r="C402" s="161" t="s">
        <v>42</v>
      </c>
      <c r="D402" s="161" t="s">
        <v>43</v>
      </c>
      <c r="E402" s="161" t="s">
        <v>57</v>
      </c>
      <c r="F402" s="161" t="s">
        <v>69</v>
      </c>
      <c r="G402" s="161" t="s">
        <v>44</v>
      </c>
      <c r="H402" s="161" t="s">
        <v>45</v>
      </c>
      <c r="I402" s="161" t="s">
        <v>68</v>
      </c>
      <c r="J402" s="161" t="s">
        <v>92</v>
      </c>
      <c r="K402" s="161" t="s">
        <v>1</v>
      </c>
      <c r="L402" s="161" t="s">
        <v>2</v>
      </c>
      <c r="M402" s="161" t="s">
        <v>101</v>
      </c>
      <c r="N402" s="161" t="s">
        <v>102</v>
      </c>
      <c r="O402" s="161"/>
      <c r="P402" s="161"/>
      <c r="Q402" s="161"/>
      <c r="R402" s="161"/>
      <c r="S402" s="161"/>
      <c r="T402" s="161"/>
      <c r="U402" s="161"/>
    </row>
    <row r="403" spans="1:21">
      <c r="A403" s="19"/>
      <c r="B403" s="161">
        <v>1806.1296928926045</v>
      </c>
      <c r="C403" s="161">
        <v>2.5206294284936155E-3</v>
      </c>
      <c r="D403" s="161">
        <v>4.9964246606446279E-6</v>
      </c>
      <c r="E403" s="161">
        <v>-1.6643847216206954E-6</v>
      </c>
      <c r="F403" s="161">
        <v>-1.2906402878382502E-3</v>
      </c>
      <c r="G403" s="161">
        <v>3.3550247238393024E-9</v>
      </c>
      <c r="H403" s="161">
        <v>-5.9398420334437324E-15</v>
      </c>
      <c r="I403" s="161">
        <v>-6.8744723528877388E-21</v>
      </c>
      <c r="J403" s="161">
        <v>-5.2659133169401413E-4</v>
      </c>
      <c r="K403" s="161">
        <v>-3.2482709128710193E-4</v>
      </c>
      <c r="L403" s="161">
        <v>-7.6978334569095949E-4</v>
      </c>
      <c r="M403" s="161">
        <v>-5.3921466536922224E-10</v>
      </c>
      <c r="N403" s="161">
        <v>1.7839311499413639E-10</v>
      </c>
      <c r="O403" s="161"/>
      <c r="P403" s="161"/>
      <c r="Q403" s="161"/>
      <c r="R403" s="161"/>
      <c r="S403" s="161"/>
      <c r="T403" s="161"/>
      <c r="U403" s="161"/>
    </row>
    <row r="404" spans="1:21">
      <c r="A404" s="19"/>
      <c r="B404" s="161">
        <v>1.7217703945022906</v>
      </c>
      <c r="C404" s="161">
        <v>4.9964246606446279E-6</v>
      </c>
      <c r="D404" s="161">
        <v>8.6980820654198275E-7</v>
      </c>
      <c r="E404" s="161">
        <v>-1.1377343770093894E-8</v>
      </c>
      <c r="F404" s="161">
        <v>-7.6168700590458696E-8</v>
      </c>
      <c r="G404" s="161">
        <v>1.2834061351882537E-11</v>
      </c>
      <c r="H404" s="161">
        <v>1.7591541105925726E-17</v>
      </c>
      <c r="I404" s="161">
        <v>-1.943048367197799E-23</v>
      </c>
      <c r="J404" s="161">
        <v>-2.3984004608963859E-6</v>
      </c>
      <c r="K404" s="161">
        <v>2.349100138918838E-6</v>
      </c>
      <c r="L404" s="161">
        <v>1.0572671136679184E-6</v>
      </c>
      <c r="M404" s="161">
        <v>-1.7401850762732019E-11</v>
      </c>
      <c r="N404" s="161">
        <v>1.2359924369453963E-11</v>
      </c>
      <c r="O404" s="161"/>
      <c r="P404" s="161"/>
      <c r="Q404" s="161"/>
      <c r="R404" s="161"/>
      <c r="S404" s="161"/>
      <c r="T404" s="161"/>
      <c r="U404" s="161"/>
    </row>
    <row r="405" spans="1:21">
      <c r="A405" s="19"/>
      <c r="B405" s="161">
        <v>0.15372435245230182</v>
      </c>
      <c r="C405" s="161">
        <v>-1.6643847216206954E-6</v>
      </c>
      <c r="D405" s="161">
        <v>-1.1377343770093894E-8</v>
      </c>
      <c r="E405" s="161">
        <v>3.6497814442559861E-9</v>
      </c>
      <c r="F405" s="161">
        <v>3.1963629919809289E-8</v>
      </c>
      <c r="G405" s="161">
        <v>-8.207095587606335E-13</v>
      </c>
      <c r="H405" s="161">
        <v>2.2276453922038126E-19</v>
      </c>
      <c r="I405" s="161">
        <v>1.4641046125262233E-24</v>
      </c>
      <c r="J405" s="161">
        <v>-3.7567840599751992E-7</v>
      </c>
      <c r="K405" s="161">
        <v>-3.2824093041741632E-7</v>
      </c>
      <c r="L405" s="161">
        <v>5.6872395520495066E-7</v>
      </c>
      <c r="M405" s="161">
        <v>8.8948224596484884E-13</v>
      </c>
      <c r="N405" s="161">
        <v>-1.8595218955994211E-13</v>
      </c>
      <c r="O405" s="161"/>
      <c r="P405" s="161"/>
      <c r="Q405" s="161"/>
      <c r="R405" s="161"/>
      <c r="S405" s="161"/>
      <c r="T405" s="161"/>
      <c r="U405" s="161"/>
    </row>
    <row r="406" spans="1:21">
      <c r="A406" s="19"/>
      <c r="B406" s="161">
        <v>95.421982683418932</v>
      </c>
      <c r="C406" s="161">
        <v>-1.2906402878382502E-3</v>
      </c>
      <c r="D406" s="161">
        <v>-7.6168700590458696E-8</v>
      </c>
      <c r="E406" s="161">
        <v>3.1963629919809289E-8</v>
      </c>
      <c r="F406" s="161">
        <v>2.3556824933359845E-3</v>
      </c>
      <c r="G406" s="161">
        <v>-4.8685872021103954E-9</v>
      </c>
      <c r="H406" s="161">
        <v>-2.7502074345545718E-16</v>
      </c>
      <c r="I406" s="161">
        <v>1.0810090076716009E-20</v>
      </c>
      <c r="J406" s="161">
        <v>1.9991016352277071E-4</v>
      </c>
      <c r="K406" s="161">
        <v>-6.1286001955329029E-5</v>
      </c>
      <c r="L406" s="161">
        <v>6.7972875644892213E-5</v>
      </c>
      <c r="M406" s="161">
        <v>-1.5906232395731276E-10</v>
      </c>
      <c r="N406" s="161">
        <v>1.8091906666901874E-10</v>
      </c>
      <c r="O406" s="161"/>
      <c r="P406" s="161"/>
      <c r="Q406" s="161"/>
      <c r="R406" s="161"/>
      <c r="S406" s="161"/>
      <c r="T406" s="161"/>
      <c r="U406" s="161"/>
    </row>
    <row r="407" spans="1:21">
      <c r="A407" s="19"/>
      <c r="B407" s="161">
        <v>9.3079689531651018E-4</v>
      </c>
      <c r="C407" s="161">
        <v>3.3550247238393024E-9</v>
      </c>
      <c r="D407" s="161">
        <v>1.2834061351882537E-11</v>
      </c>
      <c r="E407" s="161">
        <v>-8.207095587606335E-13</v>
      </c>
      <c r="F407" s="161">
        <v>-4.8685872021103954E-9</v>
      </c>
      <c r="G407" s="161">
        <v>5.0238151257152197E-14</v>
      </c>
      <c r="H407" s="161">
        <v>2.5337924885857697E-21</v>
      </c>
      <c r="I407" s="161">
        <v>-2.063486804322527E-25</v>
      </c>
      <c r="J407" s="161">
        <v>-2.5919196113200469E-10</v>
      </c>
      <c r="K407" s="161">
        <v>4.3315227222569077E-11</v>
      </c>
      <c r="L407" s="161">
        <v>-8.7769743590413966E-10</v>
      </c>
      <c r="M407" s="161">
        <v>-2.3537222977699869E-14</v>
      </c>
      <c r="N407" s="161">
        <v>-2.0017679149414769E-14</v>
      </c>
      <c r="O407" s="161"/>
      <c r="P407" s="161"/>
      <c r="Q407" s="161"/>
      <c r="R407" s="161"/>
      <c r="S407" s="161"/>
      <c r="T407" s="161"/>
      <c r="U407" s="161"/>
    </row>
    <row r="408" spans="1:21">
      <c r="A408" s="19"/>
      <c r="B408" s="161">
        <v>-2.3066200134825652E-11</v>
      </c>
      <c r="C408" s="161">
        <v>-5.9398420334437324E-15</v>
      </c>
      <c r="D408" s="161">
        <v>1.7591541105925726E-17</v>
      </c>
      <c r="E408" s="161">
        <v>2.2276453922038126E-19</v>
      </c>
      <c r="F408" s="161">
        <v>-2.7502074345545718E-16</v>
      </c>
      <c r="G408" s="161">
        <v>2.5337924885857697E-21</v>
      </c>
      <c r="H408" s="161">
        <v>1.861467540238762E-25</v>
      </c>
      <c r="I408" s="161">
        <v>4.0933864219277877E-33</v>
      </c>
      <c r="J408" s="161">
        <v>1.0743529085009876E-15</v>
      </c>
      <c r="K408" s="161">
        <v>-7.7379164026915648E-16</v>
      </c>
      <c r="L408" s="161">
        <v>-1.4805125833916822E-15</v>
      </c>
      <c r="M408" s="161">
        <v>-4.9785171816430881E-21</v>
      </c>
      <c r="N408" s="161">
        <v>-1.2795600476194266E-20</v>
      </c>
      <c r="O408" s="161"/>
      <c r="P408" s="161"/>
      <c r="Q408" s="161"/>
      <c r="R408" s="161"/>
      <c r="S408" s="161"/>
      <c r="T408" s="161"/>
      <c r="U408" s="161"/>
    </row>
    <row r="409" spans="1:21">
      <c r="A409" s="19"/>
      <c r="B409" s="161">
        <v>-1.233548478891708E-15</v>
      </c>
      <c r="C409" s="161">
        <v>-6.8744723528877388E-21</v>
      </c>
      <c r="D409" s="161">
        <v>-1.943048367197799E-23</v>
      </c>
      <c r="E409" s="161">
        <v>1.4641046125262233E-24</v>
      </c>
      <c r="F409" s="161">
        <v>1.0810090076716009E-20</v>
      </c>
      <c r="G409" s="161">
        <v>-2.063486804322527E-25</v>
      </c>
      <c r="H409" s="161">
        <v>4.0933864219277877E-33</v>
      </c>
      <c r="I409" s="161">
        <v>2.0600956623425537E-36</v>
      </c>
      <c r="J409" s="161">
        <v>-1.8393618127312897E-21</v>
      </c>
      <c r="K409" s="161">
        <v>-2.0053472316407902E-21</v>
      </c>
      <c r="L409" s="161">
        <v>4.1278135409418876E-21</v>
      </c>
      <c r="M409" s="161">
        <v>3.6257088484012115E-27</v>
      </c>
      <c r="N409" s="161">
        <v>-3.6570432927636187E-26</v>
      </c>
      <c r="O409" s="161"/>
      <c r="P409" s="161"/>
      <c r="Q409" s="161"/>
      <c r="R409" s="161"/>
      <c r="S409" s="161"/>
      <c r="T409" s="161"/>
      <c r="U409" s="161"/>
    </row>
    <row r="410" spans="1:21">
      <c r="A410" s="19"/>
      <c r="B410" s="161">
        <v>-92.43952748844498</v>
      </c>
      <c r="C410" s="161">
        <v>-5.2659133169401413E-4</v>
      </c>
      <c r="D410" s="161">
        <v>-2.3984004608963859E-6</v>
      </c>
      <c r="E410" s="161">
        <v>-3.7567840599751992E-7</v>
      </c>
      <c r="F410" s="161">
        <v>1.9991016352277071E-4</v>
      </c>
      <c r="G410" s="161">
        <v>-2.5919196113200469E-10</v>
      </c>
      <c r="H410" s="161">
        <v>1.0743529085009876E-15</v>
      </c>
      <c r="I410" s="161">
        <v>-1.8393618127312897E-21</v>
      </c>
      <c r="J410" s="161">
        <v>1.7900467294500624E-3</v>
      </c>
      <c r="K410" s="161">
        <v>-5.0314715376987228E-4</v>
      </c>
      <c r="L410" s="161">
        <v>-6.2068712105698462E-4</v>
      </c>
      <c r="M410" s="161">
        <v>2.6484672648831507E-11</v>
      </c>
      <c r="N410" s="161">
        <v>-4.1394109657351697E-10</v>
      </c>
      <c r="O410" s="161"/>
      <c r="P410" s="161"/>
      <c r="Q410" s="161"/>
      <c r="R410" s="161"/>
      <c r="S410" s="161"/>
      <c r="T410" s="161"/>
      <c r="U410" s="161"/>
    </row>
    <row r="411" spans="1:21">
      <c r="A411" s="19"/>
      <c r="B411" s="161">
        <v>-111.17276059077516</v>
      </c>
      <c r="C411" s="161">
        <v>-3.2482709128710193E-4</v>
      </c>
      <c r="D411" s="161">
        <v>2.349100138918838E-6</v>
      </c>
      <c r="E411" s="161">
        <v>-3.2824093041741632E-7</v>
      </c>
      <c r="F411" s="161">
        <v>-6.1286001955329029E-5</v>
      </c>
      <c r="G411" s="161">
        <v>4.3315227222569077E-11</v>
      </c>
      <c r="H411" s="161">
        <v>-7.7379164026915648E-16</v>
      </c>
      <c r="I411" s="161">
        <v>-2.0053472316407902E-21</v>
      </c>
      <c r="J411" s="161">
        <v>-5.0314715376987228E-4</v>
      </c>
      <c r="K411" s="161">
        <v>3.146757399731762E-3</v>
      </c>
      <c r="L411" s="161">
        <v>8.2127786718144474E-4</v>
      </c>
      <c r="M411" s="161">
        <v>1.8255415932929491E-9</v>
      </c>
      <c r="N411" s="161">
        <v>5.7155016475479034E-10</v>
      </c>
      <c r="O411" s="161"/>
      <c r="P411" s="161"/>
      <c r="Q411" s="161"/>
      <c r="R411" s="161"/>
      <c r="S411" s="161"/>
      <c r="T411" s="161"/>
      <c r="U411" s="161"/>
    </row>
    <row r="412" spans="1:21">
      <c r="A412" s="19"/>
      <c r="B412" s="161">
        <v>-28.190715709014384</v>
      </c>
      <c r="C412" s="161">
        <v>-7.6978334569095949E-4</v>
      </c>
      <c r="D412" s="161">
        <v>1.0572671136679184E-6</v>
      </c>
      <c r="E412" s="161">
        <v>5.6872395520495066E-7</v>
      </c>
      <c r="F412" s="161">
        <v>6.7972875644892213E-5</v>
      </c>
      <c r="G412" s="161">
        <v>-8.7769743590413966E-10</v>
      </c>
      <c r="H412" s="161">
        <v>-1.4805125833916822E-15</v>
      </c>
      <c r="I412" s="161">
        <v>4.1278135409418876E-21</v>
      </c>
      <c r="J412" s="161">
        <v>-6.2068712105698462E-4</v>
      </c>
      <c r="K412" s="161">
        <v>8.2127786718144474E-4</v>
      </c>
      <c r="L412" s="161">
        <v>2.3952549328240614E-3</v>
      </c>
      <c r="M412" s="161">
        <v>4.4351375228470553E-10</v>
      </c>
      <c r="N412" s="161">
        <v>-9.7633770026445983E-10</v>
      </c>
      <c r="O412" s="161"/>
      <c r="P412" s="161"/>
      <c r="Q412" s="161"/>
      <c r="R412" s="161"/>
      <c r="S412" s="161"/>
      <c r="T412" s="161"/>
      <c r="U412" s="161"/>
    </row>
    <row r="413" spans="1:21">
      <c r="A413" s="19"/>
      <c r="B413" s="161">
        <v>3.115227578753282E-4</v>
      </c>
      <c r="C413" s="161">
        <v>-5.3921466536922224E-10</v>
      </c>
      <c r="D413" s="161">
        <v>-1.7401850762732019E-11</v>
      </c>
      <c r="E413" s="161">
        <v>8.8948224596484884E-13</v>
      </c>
      <c r="F413" s="161">
        <v>-1.5906232395731276E-10</v>
      </c>
      <c r="G413" s="161">
        <v>-2.3537222977699869E-14</v>
      </c>
      <c r="H413" s="161">
        <v>-4.9785171816430881E-21</v>
      </c>
      <c r="I413" s="161">
        <v>3.6257088484012115E-27</v>
      </c>
      <c r="J413" s="161">
        <v>2.6484672648831507E-11</v>
      </c>
      <c r="K413" s="161">
        <v>1.8255415932929491E-9</v>
      </c>
      <c r="L413" s="161">
        <v>4.4351375228470553E-10</v>
      </c>
      <c r="M413" s="161">
        <v>9.3827802882868242E-14</v>
      </c>
      <c r="N413" s="161">
        <v>2.3061770694489508E-14</v>
      </c>
      <c r="O413" s="162"/>
      <c r="P413" s="162"/>
      <c r="Q413" s="162"/>
      <c r="R413" s="162"/>
      <c r="S413" s="161"/>
      <c r="T413" s="161"/>
      <c r="U413" s="161"/>
    </row>
    <row r="414" spans="1:21">
      <c r="A414" s="19"/>
      <c r="B414" s="161">
        <v>2.360322613927364E-4</v>
      </c>
      <c r="C414" s="161">
        <v>1.7839311499413639E-10</v>
      </c>
      <c r="D414" s="161">
        <v>1.2359924369453963E-11</v>
      </c>
      <c r="E414" s="161">
        <v>-1.8595218955994211E-13</v>
      </c>
      <c r="F414" s="161">
        <v>1.8091906666901874E-10</v>
      </c>
      <c r="G414" s="161">
        <v>-2.0017679149414769E-14</v>
      </c>
      <c r="H414" s="161">
        <v>-1.2795600476194266E-20</v>
      </c>
      <c r="I414" s="161">
        <v>-3.6570432927636187E-26</v>
      </c>
      <c r="J414" s="161">
        <v>-4.1394109657351697E-10</v>
      </c>
      <c r="K414" s="161">
        <v>5.7155016475479034E-10</v>
      </c>
      <c r="L414" s="161">
        <v>-9.7633770026445983E-10</v>
      </c>
      <c r="M414" s="161">
        <v>2.3061770694489508E-14</v>
      </c>
      <c r="N414" s="161">
        <v>6.1066600990006961E-14</v>
      </c>
      <c r="O414" s="161"/>
      <c r="P414" s="161"/>
      <c r="Q414" s="161"/>
      <c r="R414" s="161"/>
      <c r="S414" s="161"/>
      <c r="T414" s="161"/>
      <c r="U414" s="161"/>
    </row>
    <row r="415" spans="1:21" s="164" customFormat="1">
      <c r="A415" s="19"/>
      <c r="B415" s="161"/>
      <c r="C415" s="161"/>
      <c r="D415" s="161"/>
      <c r="E415" s="161"/>
      <c r="F415" s="161"/>
      <c r="G415" s="161"/>
      <c r="H415" s="161"/>
      <c r="I415" s="161"/>
      <c r="J415" s="161"/>
      <c r="K415" s="161"/>
      <c r="L415" s="161"/>
      <c r="M415" s="161"/>
      <c r="N415" s="161"/>
      <c r="O415" s="19"/>
      <c r="P415" s="19"/>
      <c r="Q415" s="19"/>
      <c r="R415" s="19"/>
      <c r="S415" s="19"/>
      <c r="T415" s="19"/>
      <c r="U415" s="19"/>
    </row>
    <row r="416" spans="1:21">
      <c r="A416" s="19" t="s">
        <v>125</v>
      </c>
      <c r="B416" s="161" t="s">
        <v>97</v>
      </c>
      <c r="C416" s="147">
        <f t="shared" ref="C416:P416" si="25">IF(C417="B0",$E$2,
IF(C417="agec",$F$2,
IF(C417="agec2",$G$2,
IF(C417="agec3",$H$2,
IF(C417="sexq",$I$2,
IF(C417="tivc",$J$2,
IF(C417="tivc2",$K$2,
IF(C417="tivc3",$L$2,
IF(C417="MFSq",$M$2,
IF(C417="GE",$N$2,
IF(C417="Philips",$O$2,
IF(C417="GE_X_MFSq",$P$2,
IF(C417="Philips_X_MFSq",$Q$2,
IF(C417="tivc_X_MFSq",$R$2,
IF(C417="agec_X_sexq",$S$2,
IF(C417="tivc_X_GE",$T$2,
IF(C417="tivc_X_Philips",$U$2, "Error"
)))))))))))))))))</f>
        <v>1</v>
      </c>
      <c r="D416" s="147">
        <f t="shared" si="25"/>
        <v>-47.563461699999998</v>
      </c>
      <c r="E416" s="147">
        <f t="shared" si="25"/>
        <v>2262.2828888873669</v>
      </c>
      <c r="F416" s="147">
        <f t="shared" si="25"/>
        <v>-107602.00554015962</v>
      </c>
      <c r="G416" s="147">
        <f t="shared" si="25"/>
        <v>0</v>
      </c>
      <c r="H416" s="147">
        <f t="shared" si="25"/>
        <v>-1521907.28</v>
      </c>
      <c r="I416" s="147">
        <f t="shared" si="25"/>
        <v>2316201768916.9985</v>
      </c>
      <c r="J416" s="147">
        <f t="shared" si="25"/>
        <v>-3.525044334063658E+18</v>
      </c>
      <c r="K416" s="147">
        <f t="shared" si="25"/>
        <v>0</v>
      </c>
      <c r="L416" s="147">
        <f t="shared" si="25"/>
        <v>0</v>
      </c>
      <c r="M416" s="147">
        <f t="shared" si="25"/>
        <v>0</v>
      </c>
      <c r="N416" s="147">
        <f t="shared" si="25"/>
        <v>0</v>
      </c>
      <c r="O416" s="147">
        <f t="shared" si="25"/>
        <v>0</v>
      </c>
      <c r="P416" s="147">
        <f t="shared" si="25"/>
        <v>0</v>
      </c>
      <c r="Q416" s="161"/>
      <c r="R416" s="161"/>
      <c r="S416" s="161"/>
      <c r="T416" s="161"/>
      <c r="U416" s="161"/>
    </row>
    <row r="417" spans="1:21">
      <c r="A417" s="19"/>
      <c r="B417" s="161" t="s">
        <v>98</v>
      </c>
      <c r="C417" s="161" t="s">
        <v>42</v>
      </c>
      <c r="D417" s="161" t="s">
        <v>43</v>
      </c>
      <c r="E417" s="161" t="s">
        <v>57</v>
      </c>
      <c r="F417" s="161" t="s">
        <v>66</v>
      </c>
      <c r="G417" s="161" t="s">
        <v>69</v>
      </c>
      <c r="H417" s="161" t="s">
        <v>44</v>
      </c>
      <c r="I417" s="161" t="s">
        <v>45</v>
      </c>
      <c r="J417" s="161" t="s">
        <v>68</v>
      </c>
      <c r="K417" s="161" t="s">
        <v>92</v>
      </c>
      <c r="L417" s="161" t="s">
        <v>1</v>
      </c>
      <c r="M417" s="161" t="s">
        <v>2</v>
      </c>
      <c r="N417" s="161" t="s">
        <v>107</v>
      </c>
      <c r="O417" s="161" t="s">
        <v>101</v>
      </c>
      <c r="P417" s="161" t="s">
        <v>102</v>
      </c>
      <c r="Q417" s="161"/>
      <c r="R417" s="161"/>
      <c r="S417" s="161"/>
      <c r="T417" s="161"/>
      <c r="U417" s="161"/>
    </row>
    <row r="418" spans="1:21">
      <c r="A418" s="19"/>
      <c r="B418" s="161">
        <v>3337.6128152906222</v>
      </c>
      <c r="C418" s="161">
        <v>2.6932913719016748E-3</v>
      </c>
      <c r="D418" s="161">
        <v>-2.356584960720077E-5</v>
      </c>
      <c r="E418" s="161">
        <v>-2.1518540628712269E-6</v>
      </c>
      <c r="F418" s="161">
        <v>4.1337385333788581E-8</v>
      </c>
      <c r="G418" s="161">
        <v>-1.3213285950347295E-3</v>
      </c>
      <c r="H418" s="161">
        <v>3.2432855279243983E-9</v>
      </c>
      <c r="I418" s="161">
        <v>-6.2494502553732572E-15</v>
      </c>
      <c r="J418" s="161">
        <v>-5.8633166950786864E-21</v>
      </c>
      <c r="K418" s="161">
        <v>-4.9217005970471827E-4</v>
      </c>
      <c r="L418" s="161">
        <v>-2.7571953488216033E-4</v>
      </c>
      <c r="M418" s="161">
        <v>-7.9972882465382069E-4</v>
      </c>
      <c r="N418" s="161">
        <v>5.4083888809494534E-10</v>
      </c>
      <c r="O418" s="161">
        <v>-8.397109796308991E-10</v>
      </c>
      <c r="P418" s="161">
        <v>-2.1960240483047113E-10</v>
      </c>
      <c r="Q418" s="161"/>
      <c r="R418" s="161"/>
      <c r="S418" s="161"/>
      <c r="T418" s="161"/>
      <c r="U418" s="161"/>
    </row>
    <row r="419" spans="1:21">
      <c r="A419" s="19"/>
      <c r="B419" s="161">
        <v>-9.6155726574450888</v>
      </c>
      <c r="C419" s="161">
        <v>-2.356584960720077E-5</v>
      </c>
      <c r="D419" s="161">
        <v>5.5652797018056341E-6</v>
      </c>
      <c r="E419" s="161">
        <v>7.1075350696746147E-8</v>
      </c>
      <c r="F419" s="161">
        <v>-6.8260100392350691E-9</v>
      </c>
      <c r="G419" s="161">
        <v>4.7284429867052381E-6</v>
      </c>
      <c r="H419" s="161">
        <v>4.5893879658586285E-12</v>
      </c>
      <c r="I419" s="161">
        <v>2.4438899517864769E-17</v>
      </c>
      <c r="J419" s="161">
        <v>-3.8069422509060915E-23</v>
      </c>
      <c r="K419" s="161">
        <v>-8.1015262578751571E-6</v>
      </c>
      <c r="L419" s="161">
        <v>-4.8559660837955525E-6</v>
      </c>
      <c r="M419" s="161">
        <v>5.5043141847569143E-6</v>
      </c>
      <c r="N419" s="161">
        <v>-2.4811130791381543E-11</v>
      </c>
      <c r="O419" s="161">
        <v>7.4180047970774486E-12</v>
      </c>
      <c r="P419" s="161">
        <v>5.7373933670924192E-11</v>
      </c>
      <c r="Q419" s="161"/>
      <c r="R419" s="161"/>
      <c r="S419" s="161"/>
      <c r="T419" s="161"/>
      <c r="U419" s="161"/>
    </row>
    <row r="420" spans="1:21">
      <c r="A420" s="19"/>
      <c r="B420" s="161">
        <v>-0.34573983700402805</v>
      </c>
      <c r="C420" s="161">
        <v>-2.1518540628712269E-6</v>
      </c>
      <c r="D420" s="161">
        <v>7.1075350696746147E-8</v>
      </c>
      <c r="E420" s="161">
        <v>5.0900956114759228E-9</v>
      </c>
      <c r="F420" s="161">
        <v>-1.201273989676649E-10</v>
      </c>
      <c r="G420" s="161">
        <v>1.0910593791394659E-7</v>
      </c>
      <c r="H420" s="161">
        <v>-1.1519337308386554E-12</v>
      </c>
      <c r="I420" s="161">
        <v>1.3980692714430329E-19</v>
      </c>
      <c r="J420" s="161">
        <v>1.4684838248703443E-24</v>
      </c>
      <c r="K420" s="161">
        <v>-4.8158093067430328E-7</v>
      </c>
      <c r="L420" s="161">
        <v>-4.5449310714714729E-7</v>
      </c>
      <c r="M420" s="161">
        <v>6.4186959448517674E-7</v>
      </c>
      <c r="N420" s="161">
        <v>1.4536564257215383E-13</v>
      </c>
      <c r="O420" s="161">
        <v>1.1436180094274437E-12</v>
      </c>
      <c r="P420" s="161">
        <v>4.4616248610368274E-13</v>
      </c>
      <c r="Q420" s="161"/>
      <c r="R420" s="161"/>
      <c r="S420" s="161"/>
      <c r="T420" s="161"/>
      <c r="U420" s="161"/>
    </row>
    <row r="421" spans="1:21">
      <c r="A421" s="19"/>
      <c r="B421" s="161">
        <v>2.154309467923212E-3</v>
      </c>
      <c r="C421" s="161">
        <v>4.1337385333788581E-8</v>
      </c>
      <c r="D421" s="161">
        <v>-6.8260100392350691E-9</v>
      </c>
      <c r="E421" s="161">
        <v>-1.201273989676649E-10</v>
      </c>
      <c r="F421" s="161">
        <v>9.9211791279306842E-12</v>
      </c>
      <c r="G421" s="161">
        <v>-6.7352227239420259E-9</v>
      </c>
      <c r="H421" s="161">
        <v>1.5545694015148606E-14</v>
      </c>
      <c r="I421" s="161">
        <v>-8.2168913841036169E-21</v>
      </c>
      <c r="J421" s="161">
        <v>2.982260809113987E-26</v>
      </c>
      <c r="K421" s="161">
        <v>8.3050778373867593E-9</v>
      </c>
      <c r="L421" s="161">
        <v>1.0529713373846075E-8</v>
      </c>
      <c r="M421" s="161">
        <v>-6.259530410204236E-9</v>
      </c>
      <c r="N421" s="161">
        <v>2.4720174904320374E-14</v>
      </c>
      <c r="O421" s="161">
        <v>-3.4625041304557672E-14</v>
      </c>
      <c r="P421" s="161">
        <v>-6.2918974066171906E-14</v>
      </c>
      <c r="Q421" s="161"/>
      <c r="R421" s="161"/>
      <c r="S421" s="161"/>
      <c r="T421" s="161"/>
      <c r="U421" s="161"/>
    </row>
    <row r="422" spans="1:21">
      <c r="A422" s="19"/>
      <c r="B422" s="161">
        <v>-63.404489495223949</v>
      </c>
      <c r="C422" s="161">
        <v>-1.3213285950347295E-3</v>
      </c>
      <c r="D422" s="161">
        <v>4.7284429867052381E-6</v>
      </c>
      <c r="E422" s="161">
        <v>1.0910593791394659E-7</v>
      </c>
      <c r="F422" s="161">
        <v>-6.7352227239420259E-9</v>
      </c>
      <c r="G422" s="161">
        <v>2.3649312507942732E-3</v>
      </c>
      <c r="H422" s="161">
        <v>-4.7871290773060665E-9</v>
      </c>
      <c r="I422" s="161">
        <v>-2.3227893754624687E-16</v>
      </c>
      <c r="J422" s="161">
        <v>1.1059863503824696E-20</v>
      </c>
      <c r="K422" s="161">
        <v>1.9952289883582716E-4</v>
      </c>
      <c r="L422" s="161">
        <v>-6.9564326202827635E-5</v>
      </c>
      <c r="M422" s="161">
        <v>7.4515054385781076E-5</v>
      </c>
      <c r="N422" s="161">
        <v>-4.8469014404475666E-10</v>
      </c>
      <c r="O422" s="161">
        <v>1.9001527273814614E-11</v>
      </c>
      <c r="P422" s="161">
        <v>4.1393178821585346E-10</v>
      </c>
      <c r="Q422" s="161"/>
      <c r="R422" s="161"/>
      <c r="S422" s="161"/>
      <c r="T422" s="161"/>
      <c r="U422" s="161"/>
    </row>
    <row r="423" spans="1:21">
      <c r="A423" s="19"/>
      <c r="B423" s="161">
        <v>1.1204919753267442E-3</v>
      </c>
      <c r="C423" s="161">
        <v>3.2432855279243983E-9</v>
      </c>
      <c r="D423" s="161">
        <v>4.5893879658586285E-12</v>
      </c>
      <c r="E423" s="161">
        <v>-1.1519337308386554E-12</v>
      </c>
      <c r="F423" s="161">
        <v>1.5545694015148606E-14</v>
      </c>
      <c r="G423" s="161">
        <v>-4.7871290773060665E-9</v>
      </c>
      <c r="H423" s="161">
        <v>5.693501318786642E-14</v>
      </c>
      <c r="I423" s="161">
        <v>1.0704414203005718E-20</v>
      </c>
      <c r="J423" s="161">
        <v>-2.2885758313163097E-25</v>
      </c>
      <c r="K423" s="161">
        <v>-2.2067884842645562E-10</v>
      </c>
      <c r="L423" s="161">
        <v>2.2343757191608105E-11</v>
      </c>
      <c r="M423" s="161">
        <v>-7.2988153692342207E-10</v>
      </c>
      <c r="N423" s="161">
        <v>-1.7414151838058227E-14</v>
      </c>
      <c r="O423" s="161">
        <v>-1.7977918781035574E-14</v>
      </c>
      <c r="P423" s="161">
        <v>-1.5098071935685411E-14</v>
      </c>
      <c r="Q423" s="161"/>
      <c r="R423" s="161"/>
      <c r="S423" s="161"/>
      <c r="T423" s="161"/>
      <c r="U423" s="161"/>
    </row>
    <row r="424" spans="1:21">
      <c r="A424" s="19"/>
      <c r="B424" s="161">
        <v>9.8100498457045431E-11</v>
      </c>
      <c r="C424" s="161">
        <v>-6.2494502553732572E-15</v>
      </c>
      <c r="D424" s="161">
        <v>2.4438899517864769E-17</v>
      </c>
      <c r="E424" s="161">
        <v>1.3980692714430329E-19</v>
      </c>
      <c r="F424" s="161">
        <v>-8.2168913841036169E-21</v>
      </c>
      <c r="G424" s="161">
        <v>-2.3227893754624687E-16</v>
      </c>
      <c r="H424" s="161">
        <v>1.0704414203005718E-20</v>
      </c>
      <c r="I424" s="161">
        <v>2.0188483937243065E-25</v>
      </c>
      <c r="J424" s="161">
        <v>-5.2410908327737027E-32</v>
      </c>
      <c r="K424" s="161">
        <v>1.0830833522868549E-15</v>
      </c>
      <c r="L424" s="161">
        <v>-8.8782761307429666E-16</v>
      </c>
      <c r="M424" s="161">
        <v>-1.3264969776066324E-15</v>
      </c>
      <c r="N424" s="161">
        <v>-1.567561034588839E-20</v>
      </c>
      <c r="O424" s="161">
        <v>1.2715074590206232E-21</v>
      </c>
      <c r="P424" s="161">
        <v>-8.533117671589123E-21</v>
      </c>
      <c r="Q424" s="161"/>
      <c r="R424" s="161"/>
      <c r="S424" s="161"/>
      <c r="T424" s="161"/>
      <c r="U424" s="161"/>
    </row>
    <row r="425" spans="1:21">
      <c r="A425" s="19"/>
      <c r="B425" s="161">
        <v>-7.0340583969724612E-16</v>
      </c>
      <c r="C425" s="161">
        <v>-5.8633166950786864E-21</v>
      </c>
      <c r="D425" s="161">
        <v>-3.8069422509060915E-23</v>
      </c>
      <c r="E425" s="161">
        <v>1.4684838248703443E-24</v>
      </c>
      <c r="F425" s="161">
        <v>2.982260809113987E-26</v>
      </c>
      <c r="G425" s="161">
        <v>1.1059863503824696E-20</v>
      </c>
      <c r="H425" s="161">
        <v>-2.2885758313163097E-25</v>
      </c>
      <c r="I425" s="161">
        <v>-5.2410908327737027E-32</v>
      </c>
      <c r="J425" s="161">
        <v>2.2836940190469835E-36</v>
      </c>
      <c r="K425" s="161">
        <v>-1.7980482665287804E-21</v>
      </c>
      <c r="L425" s="161">
        <v>-1.7159491770334142E-21</v>
      </c>
      <c r="M425" s="161">
        <v>3.8912658830303696E-21</v>
      </c>
      <c r="N425" s="161">
        <v>2.7902985006818014E-26</v>
      </c>
      <c r="O425" s="161">
        <v>-1.0736129920138951E-26</v>
      </c>
      <c r="P425" s="161">
        <v>-4.3442552580750379E-26</v>
      </c>
      <c r="Q425" s="161"/>
      <c r="R425" s="161"/>
      <c r="S425" s="161"/>
      <c r="T425" s="161"/>
      <c r="U425" s="161"/>
    </row>
    <row r="426" spans="1:21">
      <c r="A426" s="19"/>
      <c r="B426" s="161">
        <v>-165.17477841364308</v>
      </c>
      <c r="C426" s="161">
        <v>-4.9217005970471827E-4</v>
      </c>
      <c r="D426" s="161">
        <v>-8.1015262578751571E-6</v>
      </c>
      <c r="E426" s="161">
        <v>-4.8158093067430328E-7</v>
      </c>
      <c r="F426" s="161">
        <v>8.3050778373867593E-9</v>
      </c>
      <c r="G426" s="161">
        <v>1.9952289883582716E-4</v>
      </c>
      <c r="H426" s="161">
        <v>-2.2067884842645562E-10</v>
      </c>
      <c r="I426" s="161">
        <v>1.0830833522868549E-15</v>
      </c>
      <c r="J426" s="161">
        <v>-1.7980482665287804E-21</v>
      </c>
      <c r="K426" s="161">
        <v>1.7937768285381614E-3</v>
      </c>
      <c r="L426" s="161">
        <v>-4.9550363680537254E-4</v>
      </c>
      <c r="M426" s="161">
        <v>-6.2475558628792116E-4</v>
      </c>
      <c r="N426" s="161">
        <v>-1.086561310982756E-10</v>
      </c>
      <c r="O426" s="161">
        <v>5.0184946529899061E-11</v>
      </c>
      <c r="P426" s="161">
        <v>-4.1554434761533759E-10</v>
      </c>
      <c r="Q426" s="161"/>
      <c r="R426" s="161"/>
      <c r="S426" s="161"/>
      <c r="T426" s="161"/>
      <c r="U426" s="161"/>
    </row>
    <row r="427" spans="1:21">
      <c r="A427" s="19"/>
      <c r="B427" s="161">
        <v>-56.46616453633758</v>
      </c>
      <c r="C427" s="161">
        <v>-2.7571953488216033E-4</v>
      </c>
      <c r="D427" s="161">
        <v>-4.8559660837955525E-6</v>
      </c>
      <c r="E427" s="161">
        <v>-4.5449310714714729E-7</v>
      </c>
      <c r="F427" s="161">
        <v>1.0529713373846075E-8</v>
      </c>
      <c r="G427" s="161">
        <v>-6.9564326202827635E-5</v>
      </c>
      <c r="H427" s="161">
        <v>2.2343757191608105E-11</v>
      </c>
      <c r="I427" s="161">
        <v>-8.8782761307429666E-16</v>
      </c>
      <c r="J427" s="161">
        <v>-1.7159491770334142E-21</v>
      </c>
      <c r="K427" s="161">
        <v>-4.9550363680537254E-4</v>
      </c>
      <c r="L427" s="161">
        <v>3.1434704423822183E-3</v>
      </c>
      <c r="M427" s="161">
        <v>8.1423244854622319E-4</v>
      </c>
      <c r="N427" s="161">
        <v>1.0970290584049745E-10</v>
      </c>
      <c r="O427" s="161">
        <v>1.7456994717744722E-9</v>
      </c>
      <c r="P427" s="161">
        <v>4.6436999243478879E-10</v>
      </c>
      <c r="Q427" s="161"/>
      <c r="R427" s="161"/>
      <c r="S427" s="161"/>
      <c r="T427" s="161"/>
      <c r="U427" s="161"/>
    </row>
    <row r="428" spans="1:21">
      <c r="A428" s="19"/>
      <c r="B428" s="161">
        <v>34.405389462272701</v>
      </c>
      <c r="C428" s="161">
        <v>-7.9972882465382069E-4</v>
      </c>
      <c r="D428" s="161">
        <v>5.5043141847569143E-6</v>
      </c>
      <c r="E428" s="161">
        <v>6.4186959448517674E-7</v>
      </c>
      <c r="F428" s="161">
        <v>-6.259530410204236E-9</v>
      </c>
      <c r="G428" s="161">
        <v>7.4515054385781076E-5</v>
      </c>
      <c r="H428" s="161">
        <v>-7.2988153692342207E-10</v>
      </c>
      <c r="I428" s="161">
        <v>-1.3264969776066324E-15</v>
      </c>
      <c r="J428" s="161">
        <v>3.8912658830303696E-21</v>
      </c>
      <c r="K428" s="161">
        <v>-6.2475558628792116E-4</v>
      </c>
      <c r="L428" s="161">
        <v>8.1423244854622319E-4</v>
      </c>
      <c r="M428" s="161">
        <v>2.4071466531121318E-3</v>
      </c>
      <c r="N428" s="161">
        <v>-4.0010475354202658E-10</v>
      </c>
      <c r="O428" s="161">
        <v>5.432208557966898E-10</v>
      </c>
      <c r="P428" s="161">
        <v>-9.0921772908348503E-10</v>
      </c>
      <c r="Q428" s="161"/>
      <c r="R428" s="161"/>
      <c r="S428" s="161"/>
      <c r="T428" s="161"/>
      <c r="U428" s="161"/>
    </row>
    <row r="429" spans="1:21">
      <c r="A429" s="19"/>
      <c r="B429" s="161">
        <v>-2.3512150598244491E-4</v>
      </c>
      <c r="C429" s="161">
        <v>5.4083888809494534E-10</v>
      </c>
      <c r="D429" s="161">
        <v>-2.4811130791381543E-11</v>
      </c>
      <c r="E429" s="161">
        <v>1.4536564257215383E-13</v>
      </c>
      <c r="F429" s="161">
        <v>2.4720174904320374E-14</v>
      </c>
      <c r="G429" s="161">
        <v>-4.8469014404475666E-10</v>
      </c>
      <c r="H429" s="161">
        <v>-1.7414151838058227E-14</v>
      </c>
      <c r="I429" s="161">
        <v>-1.567561034588839E-20</v>
      </c>
      <c r="J429" s="161">
        <v>2.7902985006818014E-26</v>
      </c>
      <c r="K429" s="161">
        <v>-1.086561310982756E-10</v>
      </c>
      <c r="L429" s="161">
        <v>1.0970290584049745E-10</v>
      </c>
      <c r="M429" s="161">
        <v>-4.0010475354202658E-10</v>
      </c>
      <c r="N429" s="161">
        <v>5.5131922662433433E-14</v>
      </c>
      <c r="O429" s="161">
        <v>-1.7274432932557286E-14</v>
      </c>
      <c r="P429" s="161">
        <v>-1.8024458159873846E-14</v>
      </c>
      <c r="Q429" s="161"/>
      <c r="R429" s="161"/>
      <c r="S429" s="161"/>
      <c r="T429" s="161"/>
      <c r="U429" s="161"/>
    </row>
    <row r="430" spans="1:21">
      <c r="A430" s="19"/>
      <c r="B430" s="161">
        <v>4.0812182250555054E-4</v>
      </c>
      <c r="C430" s="161">
        <v>-8.397109796308991E-10</v>
      </c>
      <c r="D430" s="161">
        <v>7.4180047970774486E-12</v>
      </c>
      <c r="E430" s="161">
        <v>1.1436180094274437E-12</v>
      </c>
      <c r="F430" s="161">
        <v>-3.4625041304557672E-14</v>
      </c>
      <c r="G430" s="161">
        <v>1.9001527273814614E-11</v>
      </c>
      <c r="H430" s="161">
        <v>-1.7977918781035574E-14</v>
      </c>
      <c r="I430" s="161">
        <v>1.2715074590206232E-21</v>
      </c>
      <c r="J430" s="161">
        <v>-1.0736129920138951E-26</v>
      </c>
      <c r="K430" s="161">
        <v>5.0184946529899061E-11</v>
      </c>
      <c r="L430" s="161">
        <v>1.7456994717744722E-9</v>
      </c>
      <c r="M430" s="161">
        <v>5.432208557966898E-10</v>
      </c>
      <c r="N430" s="161">
        <v>-1.7274432932557286E-14</v>
      </c>
      <c r="O430" s="161">
        <v>9.8679577132460647E-14</v>
      </c>
      <c r="P430" s="161">
        <v>2.9221894611151534E-14</v>
      </c>
      <c r="Q430" s="161"/>
      <c r="R430" s="161"/>
      <c r="S430" s="161"/>
      <c r="T430" s="161"/>
      <c r="U430" s="161"/>
    </row>
    <row r="431" spans="1:21" s="164" customFormat="1">
      <c r="A431" s="19"/>
      <c r="B431" s="161">
        <v>-1.5824289765602694E-4</v>
      </c>
      <c r="C431" s="161">
        <v>-2.1960240483047113E-10</v>
      </c>
      <c r="D431" s="161">
        <v>5.7373933670924192E-11</v>
      </c>
      <c r="E431" s="161">
        <v>4.4616248610368274E-13</v>
      </c>
      <c r="F431" s="161">
        <v>-6.2918974066171906E-14</v>
      </c>
      <c r="G431" s="161">
        <v>4.1393178821585346E-10</v>
      </c>
      <c r="H431" s="161">
        <v>-1.5098071935685411E-14</v>
      </c>
      <c r="I431" s="161">
        <v>-8.533117671589123E-21</v>
      </c>
      <c r="J431" s="161">
        <v>-4.3442552580750379E-26</v>
      </c>
      <c r="K431" s="161">
        <v>-4.1554434761533759E-10</v>
      </c>
      <c r="L431" s="161">
        <v>4.6436999243478879E-10</v>
      </c>
      <c r="M431" s="161">
        <v>-9.0921772908348503E-10</v>
      </c>
      <c r="N431" s="161">
        <v>-1.8024458159873846E-14</v>
      </c>
      <c r="O431" s="161">
        <v>2.9221894611151534E-14</v>
      </c>
      <c r="P431" s="161">
        <v>6.84956044834158E-14</v>
      </c>
      <c r="Q431" s="19"/>
      <c r="R431" s="19"/>
      <c r="S431" s="19"/>
      <c r="T431" s="19"/>
      <c r="U431" s="19"/>
    </row>
    <row r="432" spans="1:21">
      <c r="A432" s="19"/>
      <c r="B432" s="161"/>
      <c r="C432" s="161"/>
      <c r="D432" s="161"/>
      <c r="E432" s="161"/>
      <c r="F432" s="161"/>
      <c r="G432" s="161"/>
      <c r="H432" s="161"/>
      <c r="I432" s="161"/>
      <c r="J432" s="161"/>
      <c r="K432" s="161"/>
      <c r="L432" s="161"/>
      <c r="M432" s="161"/>
      <c r="N432" s="161"/>
      <c r="O432" s="161"/>
      <c r="P432" s="161"/>
      <c r="Q432" s="161"/>
      <c r="R432" s="161"/>
      <c r="S432" s="161"/>
      <c r="T432" s="161"/>
      <c r="U432" s="161"/>
    </row>
    <row r="433" spans="1:21">
      <c r="A433" s="19" t="s">
        <v>126</v>
      </c>
      <c r="B433" s="161" t="s">
        <v>97</v>
      </c>
      <c r="C433" s="147">
        <f t="shared" ref="C433:O433" si="26">IF(C434="B0",$E$2,
IF(C434="agec",$F$2,
IF(C434="agec2",$G$2,
IF(C434="agec3",$H$2,
IF(C434="sexq",$I$2,
IF(C434="tivc",$J$2,
IF(C434="tivc2",$K$2,
IF(C434="tivc3",$L$2,
IF(C434="MFSq",$M$2,
IF(C434="GE",$N$2,
IF(C434="Philips",$O$2,
IF(C434="GE_X_MFSq",$P$2,
IF(C434="Philips_X_MFSq",$Q$2,
IF(C434="tivc_X_MFSq",$R$2,
IF(C434="agec_X_sexq",$S$2,
IF(C434="tivc_X_GE",$T$2,
IF(C434="tivc_X_Philips",$U$2, "Error"
)))))))))))))))))</f>
        <v>1</v>
      </c>
      <c r="D433" s="147">
        <f t="shared" si="26"/>
        <v>-47.563461699999998</v>
      </c>
      <c r="E433" s="147">
        <f t="shared" si="26"/>
        <v>2262.2828888873669</v>
      </c>
      <c r="F433" s="147">
        <f t="shared" si="26"/>
        <v>-107602.00554015962</v>
      </c>
      <c r="G433" s="147">
        <f t="shared" si="26"/>
        <v>0</v>
      </c>
      <c r="H433" s="147">
        <f t="shared" si="26"/>
        <v>-1521907.28</v>
      </c>
      <c r="I433" s="147">
        <f t="shared" si="26"/>
        <v>2316201768916.9985</v>
      </c>
      <c r="J433" s="147">
        <f t="shared" si="26"/>
        <v>0</v>
      </c>
      <c r="K433" s="147">
        <f t="shared" si="26"/>
        <v>0</v>
      </c>
      <c r="L433" s="147">
        <f t="shared" si="26"/>
        <v>0</v>
      </c>
      <c r="M433" s="147">
        <f t="shared" si="26"/>
        <v>0</v>
      </c>
      <c r="N433" s="147">
        <f t="shared" si="26"/>
        <v>0</v>
      </c>
      <c r="O433" s="147">
        <f t="shared" si="26"/>
        <v>0</v>
      </c>
      <c r="P433" s="161"/>
      <c r="Q433" s="161"/>
      <c r="R433" s="161"/>
      <c r="S433" s="161"/>
      <c r="T433" s="161"/>
      <c r="U433" s="161"/>
    </row>
    <row r="434" spans="1:21">
      <c r="A434" s="19"/>
      <c r="B434" s="161" t="s">
        <v>98</v>
      </c>
      <c r="C434" s="161" t="s">
        <v>42</v>
      </c>
      <c r="D434" s="161" t="s">
        <v>43</v>
      </c>
      <c r="E434" s="161" t="s">
        <v>57</v>
      </c>
      <c r="F434" s="161" t="s">
        <v>66</v>
      </c>
      <c r="G434" s="161" t="s">
        <v>69</v>
      </c>
      <c r="H434" s="161" t="s">
        <v>44</v>
      </c>
      <c r="I434" s="161" t="s">
        <v>45</v>
      </c>
      <c r="J434" s="161" t="s">
        <v>92</v>
      </c>
      <c r="K434" s="161" t="s">
        <v>1</v>
      </c>
      <c r="L434" s="161" t="s">
        <v>2</v>
      </c>
      <c r="M434" s="161" t="s">
        <v>93</v>
      </c>
      <c r="N434" s="161" t="s">
        <v>94</v>
      </c>
      <c r="O434" s="161" t="s">
        <v>95</v>
      </c>
      <c r="P434" s="161"/>
      <c r="Q434" s="161"/>
      <c r="R434" s="161"/>
      <c r="S434" s="161"/>
      <c r="T434" s="161"/>
      <c r="U434" s="161"/>
    </row>
    <row r="435" spans="1:21">
      <c r="A435" s="19"/>
      <c r="B435" s="161">
        <v>56155.55852641286</v>
      </c>
      <c r="C435" s="161">
        <v>2.9473421217440089E-3</v>
      </c>
      <c r="D435" s="161">
        <v>-2.4280287982913942E-5</v>
      </c>
      <c r="E435" s="161">
        <v>-2.24367142462288E-6</v>
      </c>
      <c r="F435" s="161">
        <v>4.2833344093417213E-8</v>
      </c>
      <c r="G435" s="161">
        <v>-1.3668026947131352E-3</v>
      </c>
      <c r="H435" s="161">
        <v>2.9903911969723779E-9</v>
      </c>
      <c r="I435" s="161">
        <v>-7.0767748499737837E-15</v>
      </c>
      <c r="J435" s="161">
        <v>-9.8003700903276782E-4</v>
      </c>
      <c r="K435" s="161">
        <v>-1.0608953467637469E-3</v>
      </c>
      <c r="L435" s="161">
        <v>-1.174904182473648E-3</v>
      </c>
      <c r="M435" s="161">
        <v>1.4832029534939623E-3</v>
      </c>
      <c r="N435" s="161">
        <v>7.7821123736462904E-4</v>
      </c>
      <c r="O435" s="161">
        <v>1.6307648704039227E-6</v>
      </c>
      <c r="P435" s="161"/>
      <c r="Q435" s="161"/>
      <c r="R435" s="161"/>
      <c r="S435" s="161"/>
      <c r="T435" s="161"/>
      <c r="U435" s="161"/>
    </row>
    <row r="436" spans="1:21">
      <c r="A436" s="19"/>
      <c r="B436" s="161">
        <v>-149.52071903759571</v>
      </c>
      <c r="C436" s="161">
        <v>-2.4280287982913942E-5</v>
      </c>
      <c r="D436" s="161">
        <v>6.6240128073545824E-6</v>
      </c>
      <c r="E436" s="161">
        <v>7.3006084195399039E-8</v>
      </c>
      <c r="F436" s="161">
        <v>-7.078372264178885E-9</v>
      </c>
      <c r="G436" s="161">
        <v>4.7998003839857401E-6</v>
      </c>
      <c r="H436" s="161">
        <v>1.0980810774236544E-11</v>
      </c>
      <c r="I436" s="161">
        <v>-4.517665614846379E-18</v>
      </c>
      <c r="J436" s="161">
        <v>-1.0589918721481315E-5</v>
      </c>
      <c r="K436" s="161">
        <v>-8.9196548697581589E-7</v>
      </c>
      <c r="L436" s="161">
        <v>-1.3856066216662241E-6</v>
      </c>
      <c r="M436" s="161">
        <v>-7.7793516660806598E-7</v>
      </c>
      <c r="N436" s="161">
        <v>1.39066916529356E-5</v>
      </c>
      <c r="O436" s="161">
        <v>-1.7409895428957887E-6</v>
      </c>
      <c r="P436" s="161"/>
      <c r="Q436" s="161"/>
      <c r="R436" s="161"/>
      <c r="S436" s="161"/>
      <c r="T436" s="161"/>
      <c r="U436" s="161"/>
    </row>
    <row r="437" spans="1:21">
      <c r="A437" s="19"/>
      <c r="B437" s="161">
        <v>-6.7812672632818205E-2</v>
      </c>
      <c r="C437" s="161">
        <v>-2.24367142462288E-6</v>
      </c>
      <c r="D437" s="161">
        <v>7.3006084195399039E-8</v>
      </c>
      <c r="E437" s="161">
        <v>5.3343837695451999E-9</v>
      </c>
      <c r="F437" s="161">
        <v>-1.24163304761758E-10</v>
      </c>
      <c r="G437" s="161">
        <v>1.2949481207509303E-7</v>
      </c>
      <c r="H437" s="161">
        <v>-8.4152279965568974E-13</v>
      </c>
      <c r="I437" s="161">
        <v>5.5453749146098043E-19</v>
      </c>
      <c r="J437" s="161">
        <v>-5.9189368227341827E-7</v>
      </c>
      <c r="K437" s="161">
        <v>-1.6188948158113329E-7</v>
      </c>
      <c r="L437" s="161">
        <v>3.4611860783970877E-7</v>
      </c>
      <c r="M437" s="161">
        <v>-5.2891143278377472E-7</v>
      </c>
      <c r="N437" s="161">
        <v>5.8383330710543468E-7</v>
      </c>
      <c r="O437" s="161">
        <v>1.4047271927681951E-9</v>
      </c>
      <c r="P437" s="161"/>
      <c r="Q437" s="161"/>
      <c r="R437" s="161"/>
      <c r="S437" s="161"/>
      <c r="T437" s="161"/>
      <c r="U437" s="161"/>
    </row>
    <row r="438" spans="1:21">
      <c r="A438" s="19"/>
      <c r="B438" s="161">
        <v>-1.2835447338966735E-2</v>
      </c>
      <c r="C438" s="161">
        <v>4.2833344093417213E-8</v>
      </c>
      <c r="D438" s="161">
        <v>-7.078372264178885E-9</v>
      </c>
      <c r="E438" s="161">
        <v>-1.24163304761758E-10</v>
      </c>
      <c r="F438" s="161">
        <v>1.0266146459464394E-11</v>
      </c>
      <c r="G438" s="161">
        <v>-6.3471545427849098E-9</v>
      </c>
      <c r="H438" s="161">
        <v>3.9427092404459137E-15</v>
      </c>
      <c r="I438" s="161">
        <v>-1.9951486267007244E-20</v>
      </c>
      <c r="J438" s="161">
        <v>8.1207437153498398E-9</v>
      </c>
      <c r="K438" s="161">
        <v>3.5323680026527149E-9</v>
      </c>
      <c r="L438" s="161">
        <v>-2.7000995871349361E-9</v>
      </c>
      <c r="M438" s="161">
        <v>1.3780292413877792E-8</v>
      </c>
      <c r="N438" s="161">
        <v>-7.573530567100451E-9</v>
      </c>
      <c r="O438" s="161">
        <v>6.4420261290323953E-11</v>
      </c>
      <c r="P438" s="161"/>
      <c r="Q438" s="161"/>
      <c r="R438" s="161"/>
      <c r="S438" s="161"/>
      <c r="T438" s="161"/>
      <c r="U438" s="161"/>
    </row>
    <row r="439" spans="1:21">
      <c r="A439" s="19"/>
      <c r="B439" s="161">
        <v>1319.833633111509</v>
      </c>
      <c r="C439" s="161">
        <v>-1.3668026947131352E-3</v>
      </c>
      <c r="D439" s="161">
        <v>4.7998003839857401E-6</v>
      </c>
      <c r="E439" s="161">
        <v>1.2949481207509303E-7</v>
      </c>
      <c r="F439" s="161">
        <v>-6.3471545427849098E-9</v>
      </c>
      <c r="G439" s="161">
        <v>2.4028334504382519E-3</v>
      </c>
      <c r="H439" s="161">
        <v>-3.969071553649053E-9</v>
      </c>
      <c r="I439" s="161">
        <v>4.4837361647908065E-17</v>
      </c>
      <c r="J439" s="161">
        <v>2.5931165147312704E-4</v>
      </c>
      <c r="K439" s="161">
        <v>1.8669036660865637E-4</v>
      </c>
      <c r="L439" s="161">
        <v>-3.2175535628952272E-7</v>
      </c>
      <c r="M439" s="161">
        <v>-3.8427855988556271E-4</v>
      </c>
      <c r="N439" s="161">
        <v>8.7585095256050426E-5</v>
      </c>
      <c r="O439" s="161">
        <v>-1.1581597758366338E-6</v>
      </c>
      <c r="P439" s="161"/>
      <c r="Q439" s="161"/>
      <c r="R439" s="161"/>
      <c r="S439" s="161"/>
      <c r="T439" s="161"/>
      <c r="U439" s="161"/>
    </row>
    <row r="440" spans="1:21">
      <c r="A440" s="19"/>
      <c r="B440" s="161">
        <v>2.0021334984136243E-2</v>
      </c>
      <c r="C440" s="161">
        <v>2.9903911969723779E-9</v>
      </c>
      <c r="D440" s="161">
        <v>1.0980810774236544E-11</v>
      </c>
      <c r="E440" s="161">
        <v>-8.4152279965568974E-13</v>
      </c>
      <c r="F440" s="161">
        <v>3.9427092404459137E-15</v>
      </c>
      <c r="G440" s="161">
        <v>-3.969071553649053E-9</v>
      </c>
      <c r="H440" s="161">
        <v>1.9873254667180801E-14</v>
      </c>
      <c r="I440" s="161">
        <v>-6.5606904258552454E-21</v>
      </c>
      <c r="J440" s="161">
        <v>-5.6537893999832031E-10</v>
      </c>
      <c r="K440" s="161">
        <v>-1.5550154580347859E-10</v>
      </c>
      <c r="L440" s="161">
        <v>-5.5977079894777991E-10</v>
      </c>
      <c r="M440" s="161">
        <v>8.3662157475855181E-10</v>
      </c>
      <c r="N440" s="161">
        <v>-4.4840943036972559E-10</v>
      </c>
      <c r="O440" s="161">
        <v>4.5199581066771855E-13</v>
      </c>
      <c r="P440" s="161"/>
      <c r="Q440" s="161"/>
      <c r="R440" s="161"/>
      <c r="S440" s="161"/>
      <c r="T440" s="161"/>
      <c r="U440" s="161"/>
    </row>
    <row r="441" spans="1:21" s="164" customFormat="1">
      <c r="A441" s="19"/>
      <c r="B441" s="161">
        <v>7.2238993914671349E-9</v>
      </c>
      <c r="C441" s="161">
        <v>-7.0767748499737837E-15</v>
      </c>
      <c r="D441" s="161">
        <v>-4.517665614846379E-18</v>
      </c>
      <c r="E441" s="161">
        <v>5.5453749146098043E-19</v>
      </c>
      <c r="F441" s="161">
        <v>-1.9951486267007244E-20</v>
      </c>
      <c r="G441" s="161">
        <v>4.4837361647908065E-17</v>
      </c>
      <c r="H441" s="161">
        <v>-6.5606904258552454E-21</v>
      </c>
      <c r="I441" s="161">
        <v>2.2568047401816791E-25</v>
      </c>
      <c r="J441" s="161">
        <v>7.6362261690423064E-16</v>
      </c>
      <c r="K441" s="161">
        <v>-8.7019702578127055E-16</v>
      </c>
      <c r="L441" s="161">
        <v>-1.0045333355402168E-15</v>
      </c>
      <c r="M441" s="161">
        <v>-3.6662523853735058E-16</v>
      </c>
      <c r="N441" s="161">
        <v>-7.5762212056656334E-16</v>
      </c>
      <c r="O441" s="161">
        <v>6.7970938344599773E-17</v>
      </c>
      <c r="P441" s="19"/>
      <c r="Q441" s="19"/>
      <c r="R441" s="19"/>
      <c r="S441" s="19"/>
      <c r="T441" s="19"/>
      <c r="U441" s="19"/>
    </row>
    <row r="442" spans="1:21">
      <c r="A442" s="19"/>
      <c r="B442" s="161">
        <v>-96.301421769109481</v>
      </c>
      <c r="C442" s="161">
        <v>-9.8003700903276782E-4</v>
      </c>
      <c r="D442" s="161">
        <v>-1.0589918721481315E-5</v>
      </c>
      <c r="E442" s="161">
        <v>-5.9189368227341827E-7</v>
      </c>
      <c r="F442" s="161">
        <v>8.1207437153498398E-9</v>
      </c>
      <c r="G442" s="161">
        <v>2.5931165147312704E-4</v>
      </c>
      <c r="H442" s="161">
        <v>-5.6537893999832031E-10</v>
      </c>
      <c r="I442" s="161">
        <v>7.6362261690423064E-16</v>
      </c>
      <c r="J442" s="161">
        <v>3.4121476436606369E-3</v>
      </c>
      <c r="K442" s="161">
        <v>1.0843587682210368E-3</v>
      </c>
      <c r="L442" s="161">
        <v>1.0122937156846936E-3</v>
      </c>
      <c r="M442" s="161">
        <v>-3.273759764767912E-3</v>
      </c>
      <c r="N442" s="161">
        <v>-3.3732162153251714E-3</v>
      </c>
      <c r="O442" s="161">
        <v>1.6814145371213856E-7</v>
      </c>
      <c r="P442" s="161"/>
      <c r="Q442" s="161"/>
      <c r="R442" s="161"/>
      <c r="S442" s="161"/>
      <c r="T442" s="161"/>
      <c r="U442" s="161"/>
    </row>
    <row r="443" spans="1:21">
      <c r="A443" s="19"/>
      <c r="B443" s="161">
        <v>623.36465823364676</v>
      </c>
      <c r="C443" s="161">
        <v>-1.0608953467637469E-3</v>
      </c>
      <c r="D443" s="161">
        <v>-8.9196548697581589E-7</v>
      </c>
      <c r="E443" s="161">
        <v>-1.6188948158113329E-7</v>
      </c>
      <c r="F443" s="161">
        <v>3.5323680026527149E-9</v>
      </c>
      <c r="G443" s="161">
        <v>1.8669036660865637E-4</v>
      </c>
      <c r="H443" s="161">
        <v>-1.5550154580347859E-10</v>
      </c>
      <c r="I443" s="161">
        <v>-8.7019702578127055E-16</v>
      </c>
      <c r="J443" s="161">
        <v>1.0843587682210368E-3</v>
      </c>
      <c r="K443" s="161">
        <v>7.5279704148380295E-3</v>
      </c>
      <c r="L443" s="161">
        <v>1.0383052091623543E-3</v>
      </c>
      <c r="M443" s="161">
        <v>-7.5100328031851059E-3</v>
      </c>
      <c r="N443" s="161">
        <v>-1.0574847949941966E-3</v>
      </c>
      <c r="O443" s="161">
        <v>-1.7483393234231623E-6</v>
      </c>
      <c r="P443" s="161"/>
      <c r="Q443" s="161"/>
      <c r="R443" s="161"/>
      <c r="S443" s="161"/>
      <c r="T443" s="161"/>
      <c r="U443" s="161"/>
    </row>
    <row r="444" spans="1:21">
      <c r="A444" s="19"/>
      <c r="B444" s="161">
        <v>-330.78209976905947</v>
      </c>
      <c r="C444" s="161">
        <v>-1.174904182473648E-3</v>
      </c>
      <c r="D444" s="161">
        <v>-1.3856066216662241E-6</v>
      </c>
      <c r="E444" s="161">
        <v>3.4611860783970877E-7</v>
      </c>
      <c r="F444" s="161">
        <v>-2.7000995871349361E-9</v>
      </c>
      <c r="G444" s="161">
        <v>-3.2175535628952272E-7</v>
      </c>
      <c r="H444" s="161">
        <v>-5.5977079894777991E-10</v>
      </c>
      <c r="I444" s="161">
        <v>-1.0045333355402168E-15</v>
      </c>
      <c r="J444" s="161">
        <v>1.0122937156846936E-3</v>
      </c>
      <c r="K444" s="161">
        <v>1.0383052091623543E-3</v>
      </c>
      <c r="L444" s="161">
        <v>5.2242514012938463E-3</v>
      </c>
      <c r="M444" s="161">
        <v>-1.0964801005561699E-3</v>
      </c>
      <c r="N444" s="161">
        <v>-5.1174135212129811E-3</v>
      </c>
      <c r="O444" s="161">
        <v>3.7020381173767179E-6</v>
      </c>
      <c r="P444" s="161"/>
      <c r="Q444" s="161"/>
      <c r="R444" s="161"/>
      <c r="S444" s="161"/>
      <c r="T444" s="161"/>
      <c r="U444" s="161"/>
    </row>
    <row r="445" spans="1:21">
      <c r="A445" s="19"/>
      <c r="B445" s="161">
        <v>-1696.329852789195</v>
      </c>
      <c r="C445" s="161">
        <v>1.4832029534939623E-3</v>
      </c>
      <c r="D445" s="161">
        <v>-7.7793516660806598E-7</v>
      </c>
      <c r="E445" s="161">
        <v>-5.2891143278377472E-7</v>
      </c>
      <c r="F445" s="161">
        <v>1.3780292413877792E-8</v>
      </c>
      <c r="G445" s="161">
        <v>-3.8427855988556271E-4</v>
      </c>
      <c r="H445" s="161">
        <v>8.3662157475855181E-10</v>
      </c>
      <c r="I445" s="161">
        <v>-3.6662523853735058E-16</v>
      </c>
      <c r="J445" s="161">
        <v>-3.273759764767912E-3</v>
      </c>
      <c r="K445" s="161">
        <v>-7.5100328031851059E-3</v>
      </c>
      <c r="L445" s="161">
        <v>-1.0964801005561699E-3</v>
      </c>
      <c r="M445" s="161">
        <v>1.3658001928445273E-2</v>
      </c>
      <c r="N445" s="161">
        <v>3.2344596435162549E-3</v>
      </c>
      <c r="O445" s="161">
        <v>-7.8524945807719689E-6</v>
      </c>
      <c r="P445" s="161"/>
      <c r="Q445" s="161"/>
      <c r="R445" s="161"/>
      <c r="S445" s="161"/>
      <c r="T445" s="161"/>
      <c r="U445" s="161"/>
    </row>
    <row r="446" spans="1:21">
      <c r="A446" s="19"/>
      <c r="B446" s="161">
        <v>-1685.8293955128568</v>
      </c>
      <c r="C446" s="161">
        <v>7.7821123736462904E-4</v>
      </c>
      <c r="D446" s="161">
        <v>1.39066916529356E-5</v>
      </c>
      <c r="E446" s="161">
        <v>5.8383330710543468E-7</v>
      </c>
      <c r="F446" s="161">
        <v>-7.573530567100451E-9</v>
      </c>
      <c r="G446" s="161">
        <v>8.7585095256050426E-5</v>
      </c>
      <c r="H446" s="161">
        <v>-4.4840943036972559E-10</v>
      </c>
      <c r="I446" s="161">
        <v>-7.5762212056656334E-16</v>
      </c>
      <c r="J446" s="161">
        <v>-3.3732162153251714E-3</v>
      </c>
      <c r="K446" s="161">
        <v>-1.0574847949941966E-3</v>
      </c>
      <c r="L446" s="161">
        <v>-5.1174135212129811E-3</v>
      </c>
      <c r="M446" s="161">
        <v>3.2344596435162549E-3</v>
      </c>
      <c r="N446" s="161">
        <v>9.6276545811929352E-3</v>
      </c>
      <c r="O446" s="161">
        <v>-6.4368873266120687E-6</v>
      </c>
      <c r="P446" s="161"/>
      <c r="Q446" s="161"/>
      <c r="R446" s="161"/>
      <c r="S446" s="161"/>
      <c r="T446" s="161"/>
      <c r="U446" s="161"/>
    </row>
    <row r="447" spans="1:21">
      <c r="A447" s="19"/>
      <c r="B447" s="161">
        <v>-41.817178969898549</v>
      </c>
      <c r="C447" s="161">
        <v>1.6307648704039227E-6</v>
      </c>
      <c r="D447" s="161">
        <v>-1.7409895428957887E-6</v>
      </c>
      <c r="E447" s="161">
        <v>1.4047271927681951E-9</v>
      </c>
      <c r="F447" s="161">
        <v>6.4420261290323953E-11</v>
      </c>
      <c r="G447" s="161">
        <v>-1.1581597758366338E-6</v>
      </c>
      <c r="H447" s="161">
        <v>4.5199581066771855E-13</v>
      </c>
      <c r="I447" s="161">
        <v>6.7970938344599773E-17</v>
      </c>
      <c r="J447" s="161">
        <v>1.6814145371213856E-7</v>
      </c>
      <c r="K447" s="161">
        <v>-1.7483393234231623E-6</v>
      </c>
      <c r="L447" s="161">
        <v>3.7020381173767179E-6</v>
      </c>
      <c r="M447" s="161">
        <v>-7.8524945807719689E-6</v>
      </c>
      <c r="N447" s="161">
        <v>-6.4368873266120687E-6</v>
      </c>
      <c r="O447" s="161">
        <v>3.4158300932133496E-6</v>
      </c>
      <c r="P447" s="161"/>
      <c r="Q447" s="161"/>
      <c r="R447" s="161"/>
      <c r="S447" s="161"/>
      <c r="T447" s="161"/>
      <c r="U447" s="161"/>
    </row>
    <row r="448" spans="1:21">
      <c r="A448" s="19"/>
      <c r="B448" s="161"/>
      <c r="C448" s="161"/>
      <c r="D448" s="161"/>
      <c r="E448" s="161"/>
      <c r="F448" s="161"/>
      <c r="G448" s="161"/>
      <c r="H448" s="161"/>
      <c r="I448" s="161"/>
      <c r="J448" s="161"/>
      <c r="K448" s="161"/>
      <c r="L448" s="161"/>
      <c r="M448" s="161"/>
      <c r="N448" s="161"/>
      <c r="O448" s="161"/>
      <c r="P448" s="161"/>
      <c r="Q448" s="161"/>
      <c r="R448" s="161"/>
      <c r="S448" s="161"/>
      <c r="T448" s="161"/>
      <c r="U448" s="161"/>
    </row>
    <row r="449" spans="1:21">
      <c r="A449" s="19"/>
      <c r="B449" s="161"/>
      <c r="C449" s="161"/>
      <c r="D449" s="161"/>
      <c r="E449" s="161"/>
      <c r="F449" s="161"/>
      <c r="G449" s="161"/>
      <c r="H449" s="161"/>
      <c r="I449" s="161"/>
      <c r="J449" s="161"/>
      <c r="K449" s="161"/>
      <c r="L449" s="161"/>
      <c r="M449" s="161"/>
      <c r="N449" s="161"/>
      <c r="O449" s="161"/>
      <c r="P449" s="161"/>
      <c r="Q449" s="161"/>
      <c r="R449" s="161"/>
      <c r="S449" s="161"/>
      <c r="T449" s="161"/>
      <c r="U449" s="161"/>
    </row>
    <row r="450" spans="1:21">
      <c r="A450" s="166"/>
      <c r="B450" s="167"/>
      <c r="C450" s="167"/>
      <c r="D450" s="167"/>
      <c r="E450" s="167"/>
      <c r="F450" s="167"/>
      <c r="G450" s="167"/>
      <c r="H450" s="167"/>
      <c r="I450" s="167"/>
      <c r="J450" s="167"/>
      <c r="K450" s="167"/>
      <c r="L450" s="167"/>
      <c r="M450" s="167"/>
      <c r="N450" s="167"/>
      <c r="O450" s="167"/>
      <c r="P450" s="167"/>
      <c r="Q450" s="167"/>
      <c r="R450" s="167"/>
      <c r="S450" s="167"/>
      <c r="T450" s="167"/>
      <c r="U450" s="167"/>
    </row>
    <row r="451" spans="1:21">
      <c r="A451" s="166"/>
      <c r="B451" s="168"/>
      <c r="C451" s="168"/>
      <c r="D451" s="168"/>
      <c r="E451" s="168"/>
      <c r="F451" s="168"/>
      <c r="G451" s="168"/>
      <c r="H451" s="168"/>
      <c r="I451" s="168"/>
      <c r="J451" s="168"/>
      <c r="K451" s="168"/>
      <c r="L451" s="168"/>
      <c r="M451" s="167"/>
      <c r="N451" s="167"/>
      <c r="O451" s="167"/>
      <c r="P451" s="167"/>
      <c r="Q451" s="167"/>
      <c r="R451" s="167"/>
      <c r="S451" s="167"/>
      <c r="T451" s="167"/>
      <c r="U451" s="167"/>
    </row>
    <row r="452" spans="1:21">
      <c r="A452" s="166"/>
      <c r="B452" s="168"/>
      <c r="C452" s="168"/>
      <c r="D452" s="168"/>
      <c r="E452" s="168"/>
      <c r="F452" s="168"/>
      <c r="G452" s="168"/>
      <c r="H452" s="168"/>
      <c r="I452" s="168"/>
      <c r="J452" s="168"/>
      <c r="K452" s="168"/>
      <c r="L452" s="168"/>
      <c r="M452" s="167"/>
      <c r="N452" s="167"/>
      <c r="O452" s="167"/>
      <c r="P452" s="167"/>
      <c r="Q452" s="167"/>
      <c r="R452" s="167"/>
      <c r="S452" s="167"/>
      <c r="T452" s="167"/>
      <c r="U452" s="167"/>
    </row>
    <row r="453" spans="1:21">
      <c r="A453" s="166"/>
      <c r="B453" s="168"/>
      <c r="C453" s="168"/>
      <c r="D453" s="168"/>
      <c r="E453" s="168"/>
      <c r="F453" s="168"/>
      <c r="G453" s="168"/>
      <c r="H453" s="168"/>
      <c r="I453" s="168"/>
      <c r="J453" s="168"/>
      <c r="K453" s="168"/>
      <c r="L453" s="168"/>
      <c r="M453" s="167"/>
      <c r="N453" s="167"/>
      <c r="O453" s="167"/>
      <c r="P453" s="167"/>
      <c r="Q453" s="167"/>
      <c r="R453" s="167"/>
      <c r="S453" s="167"/>
      <c r="T453" s="167"/>
      <c r="U453" s="167"/>
    </row>
    <row r="454" spans="1:21">
      <c r="A454" s="166"/>
      <c r="B454" s="168"/>
      <c r="C454" s="168"/>
      <c r="D454" s="168"/>
      <c r="E454" s="168"/>
      <c r="F454" s="168"/>
      <c r="G454" s="168"/>
      <c r="H454" s="168"/>
      <c r="I454" s="168"/>
      <c r="J454" s="168"/>
      <c r="K454" s="168"/>
      <c r="L454" s="168"/>
      <c r="M454" s="167"/>
      <c r="N454" s="167"/>
      <c r="O454" s="167"/>
      <c r="P454" s="167"/>
      <c r="Q454" s="167"/>
      <c r="R454" s="167"/>
      <c r="S454" s="167"/>
      <c r="T454" s="167"/>
      <c r="U454" s="167"/>
    </row>
    <row r="455" spans="1:21">
      <c r="A455" s="166"/>
      <c r="B455" s="168"/>
      <c r="C455" s="168"/>
      <c r="D455" s="168"/>
      <c r="E455" s="168"/>
      <c r="F455" s="168"/>
      <c r="G455" s="168"/>
      <c r="H455" s="168"/>
      <c r="I455" s="168"/>
      <c r="J455" s="168"/>
      <c r="K455" s="168"/>
      <c r="L455" s="168"/>
      <c r="M455" s="167"/>
      <c r="N455" s="167"/>
      <c r="O455" s="167"/>
      <c r="P455" s="167"/>
      <c r="Q455" s="167"/>
      <c r="R455" s="167"/>
      <c r="S455" s="167"/>
      <c r="T455" s="167"/>
      <c r="U455" s="167"/>
    </row>
    <row r="456" spans="1:21">
      <c r="A456" s="166"/>
      <c r="B456" s="168"/>
      <c r="C456" s="168"/>
      <c r="D456" s="168"/>
      <c r="E456" s="168"/>
      <c r="F456" s="168"/>
      <c r="G456" s="168"/>
      <c r="H456" s="168"/>
      <c r="I456" s="168"/>
      <c r="J456" s="168"/>
      <c r="K456" s="168"/>
      <c r="L456" s="168"/>
      <c r="M456" s="167"/>
      <c r="N456" s="167"/>
      <c r="O456" s="167"/>
      <c r="P456" s="167"/>
      <c r="Q456" s="167"/>
      <c r="R456" s="167"/>
      <c r="S456" s="167"/>
      <c r="T456" s="167"/>
      <c r="U456" s="167"/>
    </row>
    <row r="457" spans="1:21">
      <c r="A457" s="166"/>
      <c r="B457" s="168"/>
      <c r="C457" s="168"/>
      <c r="D457" s="168"/>
      <c r="E457" s="168"/>
      <c r="F457" s="168"/>
      <c r="G457" s="168"/>
      <c r="H457" s="168"/>
      <c r="I457" s="168"/>
      <c r="J457" s="168"/>
      <c r="K457" s="168"/>
      <c r="L457" s="168"/>
      <c r="M457" s="168"/>
      <c r="N457" s="168"/>
      <c r="O457" s="168"/>
      <c r="P457" s="168"/>
      <c r="Q457" s="167"/>
      <c r="R457" s="167"/>
      <c r="S457" s="167"/>
      <c r="T457" s="167"/>
      <c r="U457" s="167"/>
    </row>
    <row r="458" spans="1:21">
      <c r="A458" s="166"/>
      <c r="B458" s="168"/>
      <c r="C458" s="168"/>
      <c r="D458" s="168"/>
      <c r="E458" s="168"/>
      <c r="F458" s="168"/>
      <c r="G458" s="168"/>
      <c r="H458" s="168"/>
      <c r="I458" s="168"/>
      <c r="J458" s="168"/>
      <c r="K458" s="168"/>
      <c r="L458" s="168"/>
      <c r="M458" s="167"/>
      <c r="N458" s="167"/>
      <c r="O458" s="167"/>
      <c r="P458" s="167"/>
      <c r="Q458" s="167"/>
      <c r="R458" s="167"/>
      <c r="S458" s="167"/>
      <c r="T458" s="167"/>
      <c r="U458" s="167"/>
    </row>
    <row r="459" spans="1:21" s="164" customFormat="1">
      <c r="A459" s="166"/>
      <c r="B459" s="169"/>
      <c r="C459" s="169"/>
      <c r="D459" s="169"/>
      <c r="E459" s="169"/>
      <c r="F459" s="169"/>
      <c r="G459" s="169"/>
      <c r="H459" s="169"/>
      <c r="I459" s="169"/>
      <c r="J459" s="169"/>
      <c r="K459" s="169"/>
      <c r="L459" s="169"/>
      <c r="M459" s="166"/>
      <c r="N459" s="166"/>
      <c r="O459" s="166"/>
      <c r="P459" s="166"/>
      <c r="Q459" s="166"/>
      <c r="R459" s="166"/>
      <c r="S459" s="166"/>
      <c r="T459" s="166"/>
      <c r="U459" s="166"/>
    </row>
    <row r="460" spans="1:21">
      <c r="A460" s="166"/>
      <c r="B460" s="168"/>
      <c r="C460" s="168"/>
      <c r="D460" s="168"/>
      <c r="E460" s="168"/>
      <c r="F460" s="168"/>
      <c r="G460" s="168"/>
      <c r="H460" s="168"/>
      <c r="I460" s="168"/>
      <c r="J460" s="168"/>
      <c r="K460" s="168"/>
      <c r="L460" s="168"/>
      <c r="M460" s="167"/>
      <c r="N460" s="167"/>
      <c r="O460" s="167"/>
      <c r="P460" s="167"/>
      <c r="Q460" s="167"/>
      <c r="R460" s="167"/>
      <c r="S460" s="167"/>
      <c r="T460" s="167"/>
      <c r="U460" s="167"/>
    </row>
    <row r="461" spans="1:21">
      <c r="A461" s="166"/>
      <c r="B461" s="168"/>
      <c r="C461" s="168"/>
      <c r="D461" s="168"/>
      <c r="E461" s="168"/>
      <c r="F461" s="168"/>
      <c r="G461" s="168"/>
      <c r="H461" s="168"/>
      <c r="I461" s="168"/>
      <c r="J461" s="168"/>
      <c r="K461" s="168"/>
      <c r="L461" s="168"/>
      <c r="M461" s="167"/>
      <c r="N461" s="167"/>
      <c r="O461" s="167"/>
      <c r="P461" s="167"/>
      <c r="Q461" s="167"/>
      <c r="R461" s="167"/>
      <c r="S461" s="167"/>
      <c r="T461" s="167"/>
      <c r="U461" s="167"/>
    </row>
    <row r="462" spans="1:21">
      <c r="A462" s="166"/>
      <c r="B462" s="168"/>
      <c r="C462" s="168"/>
      <c r="D462" s="168"/>
      <c r="E462" s="168"/>
      <c r="F462" s="168"/>
      <c r="G462" s="168"/>
      <c r="H462" s="168"/>
      <c r="I462" s="168"/>
      <c r="J462" s="168"/>
      <c r="K462" s="168"/>
      <c r="L462" s="168"/>
      <c r="M462" s="167"/>
      <c r="N462" s="167"/>
      <c r="O462" s="167"/>
      <c r="P462" s="167"/>
      <c r="Q462" s="167"/>
      <c r="R462" s="167"/>
      <c r="S462" s="167"/>
      <c r="T462" s="167"/>
      <c r="U462" s="167"/>
    </row>
    <row r="463" spans="1:21">
      <c r="A463" s="166"/>
      <c r="B463" s="168"/>
      <c r="C463" s="168"/>
      <c r="D463" s="168"/>
      <c r="E463" s="168"/>
      <c r="F463" s="168"/>
      <c r="G463" s="168"/>
      <c r="H463" s="168"/>
      <c r="I463" s="168"/>
      <c r="J463" s="168"/>
      <c r="K463" s="168"/>
      <c r="L463" s="168"/>
      <c r="M463" s="167"/>
      <c r="N463" s="167"/>
      <c r="O463" s="167"/>
      <c r="P463" s="167"/>
      <c r="Q463" s="167"/>
      <c r="R463" s="167"/>
      <c r="S463" s="167"/>
      <c r="T463" s="167"/>
      <c r="U463" s="167"/>
    </row>
    <row r="464" spans="1:21">
      <c r="A464" s="166"/>
      <c r="B464" s="168"/>
      <c r="C464" s="168"/>
      <c r="D464" s="168"/>
      <c r="E464" s="168"/>
      <c r="F464" s="168"/>
      <c r="G464" s="168"/>
      <c r="H464" s="168"/>
      <c r="I464" s="168"/>
      <c r="J464" s="168"/>
      <c r="K464" s="168"/>
      <c r="L464" s="168"/>
      <c r="M464" s="167"/>
      <c r="N464" s="167"/>
      <c r="O464" s="167"/>
      <c r="P464" s="167"/>
      <c r="Q464" s="167"/>
      <c r="R464" s="167"/>
      <c r="S464" s="167"/>
      <c r="T464" s="167"/>
      <c r="U464" s="167"/>
    </row>
    <row r="465" spans="1:21">
      <c r="A465" s="166"/>
      <c r="B465" s="168"/>
      <c r="C465" s="168"/>
      <c r="D465" s="168"/>
      <c r="E465" s="168"/>
      <c r="F465" s="168"/>
      <c r="G465" s="168"/>
      <c r="H465" s="168"/>
      <c r="I465" s="168"/>
      <c r="J465" s="168"/>
      <c r="K465" s="168"/>
      <c r="L465" s="168"/>
      <c r="M465" s="167"/>
      <c r="N465" s="167"/>
      <c r="O465" s="167"/>
      <c r="P465" s="167"/>
      <c r="Q465" s="167"/>
      <c r="R465" s="167"/>
      <c r="S465" s="167"/>
      <c r="T465" s="167"/>
      <c r="U465" s="167"/>
    </row>
    <row r="466" spans="1:21">
      <c r="A466" s="166"/>
      <c r="B466" s="168"/>
      <c r="C466" s="168"/>
      <c r="D466" s="168"/>
      <c r="E466" s="168"/>
      <c r="F466" s="168"/>
      <c r="G466" s="168"/>
      <c r="H466" s="168"/>
      <c r="I466" s="168"/>
      <c r="J466" s="168"/>
      <c r="K466" s="168"/>
      <c r="L466" s="168"/>
      <c r="M466" s="167"/>
      <c r="N466" s="167"/>
      <c r="O466" s="167"/>
      <c r="P466" s="167"/>
      <c r="Q466" s="167"/>
      <c r="R466" s="167"/>
      <c r="S466" s="167"/>
      <c r="T466" s="167"/>
      <c r="U466" s="167"/>
    </row>
    <row r="467" spans="1:21">
      <c r="A467" s="166"/>
      <c r="B467" s="168"/>
      <c r="C467" s="168"/>
      <c r="D467" s="168"/>
      <c r="E467" s="168"/>
      <c r="F467" s="168"/>
      <c r="G467" s="168"/>
      <c r="H467" s="168"/>
      <c r="I467" s="168"/>
      <c r="J467" s="168"/>
      <c r="K467" s="168"/>
      <c r="L467" s="168"/>
      <c r="M467" s="167"/>
      <c r="N467" s="167"/>
      <c r="O467" s="167"/>
      <c r="P467" s="167"/>
      <c r="Q467" s="167"/>
      <c r="R467" s="167"/>
      <c r="S467" s="167"/>
      <c r="T467" s="167"/>
      <c r="U467" s="167"/>
    </row>
    <row r="468" spans="1:21">
      <c r="A468" s="166"/>
      <c r="B468" s="168"/>
      <c r="C468" s="168"/>
      <c r="D468" s="168"/>
      <c r="E468" s="168"/>
      <c r="F468" s="168"/>
      <c r="G468" s="168"/>
      <c r="H468" s="168"/>
      <c r="I468" s="168"/>
      <c r="J468" s="168"/>
      <c r="K468" s="168"/>
      <c r="L468" s="168"/>
      <c r="M468" s="167"/>
      <c r="N468" s="167"/>
      <c r="O468" s="167"/>
      <c r="P468" s="167"/>
      <c r="Q468" s="167"/>
      <c r="R468" s="167"/>
      <c r="S468" s="167"/>
      <c r="T468" s="167"/>
      <c r="U468" s="167"/>
    </row>
    <row r="469" spans="1:21">
      <c r="A469" s="166"/>
      <c r="B469" s="168"/>
      <c r="C469" s="168"/>
      <c r="D469" s="168"/>
      <c r="E469" s="168"/>
      <c r="F469" s="168"/>
      <c r="G469" s="168"/>
      <c r="H469" s="168"/>
      <c r="I469" s="168"/>
      <c r="J469" s="168"/>
      <c r="K469" s="168"/>
      <c r="L469" s="168"/>
      <c r="M469" s="167"/>
      <c r="N469" s="167"/>
      <c r="O469" s="167"/>
      <c r="P469" s="167"/>
      <c r="Q469" s="167"/>
      <c r="R469" s="167"/>
      <c r="S469" s="167"/>
      <c r="T469" s="167"/>
      <c r="U469" s="167"/>
    </row>
    <row r="470" spans="1:21">
      <c r="A470" s="166"/>
      <c r="B470" s="168"/>
      <c r="C470" s="168"/>
      <c r="D470" s="168"/>
      <c r="E470" s="168"/>
      <c r="F470" s="168"/>
      <c r="G470" s="168"/>
      <c r="H470" s="168"/>
      <c r="I470" s="168"/>
      <c r="J470" s="168"/>
      <c r="K470" s="168"/>
      <c r="L470" s="168"/>
      <c r="M470" s="167"/>
      <c r="N470" s="167"/>
      <c r="O470" s="167"/>
      <c r="P470" s="167"/>
      <c r="Q470" s="167"/>
      <c r="R470" s="167"/>
      <c r="S470" s="167"/>
      <c r="T470" s="167"/>
      <c r="U470" s="167"/>
    </row>
    <row r="471" spans="1:21">
      <c r="A471" s="166"/>
      <c r="B471" s="168"/>
      <c r="C471" s="168"/>
      <c r="D471" s="168"/>
      <c r="E471" s="168"/>
      <c r="F471" s="168"/>
      <c r="G471" s="168"/>
      <c r="H471" s="168"/>
      <c r="I471" s="168"/>
      <c r="J471" s="168"/>
      <c r="K471" s="168"/>
      <c r="L471" s="168"/>
      <c r="M471" s="167"/>
      <c r="N471" s="167"/>
      <c r="O471" s="167"/>
      <c r="P471" s="167"/>
      <c r="Q471" s="167"/>
      <c r="R471" s="167"/>
      <c r="S471" s="167"/>
      <c r="T471" s="167"/>
      <c r="U471" s="167"/>
    </row>
    <row r="472" spans="1:21">
      <c r="A472" s="166"/>
      <c r="B472" s="168"/>
      <c r="C472" s="168"/>
      <c r="D472" s="168"/>
      <c r="E472" s="168"/>
      <c r="F472" s="168"/>
      <c r="G472" s="168"/>
      <c r="H472" s="168"/>
      <c r="I472" s="168"/>
      <c r="J472" s="168"/>
      <c r="K472" s="168"/>
      <c r="L472" s="168"/>
      <c r="M472" s="167"/>
      <c r="N472" s="167"/>
      <c r="O472" s="167"/>
      <c r="P472" s="167"/>
      <c r="Q472" s="167"/>
      <c r="R472" s="167"/>
      <c r="S472" s="167"/>
      <c r="T472" s="167"/>
      <c r="U472" s="167"/>
    </row>
    <row r="473" spans="1:21">
      <c r="A473" s="166"/>
      <c r="B473" s="168"/>
      <c r="C473" s="168"/>
      <c r="D473" s="168"/>
      <c r="E473" s="168"/>
      <c r="F473" s="168"/>
      <c r="G473" s="168"/>
      <c r="H473" s="168"/>
      <c r="I473" s="168"/>
      <c r="J473" s="168"/>
      <c r="K473" s="168"/>
      <c r="L473" s="168"/>
      <c r="M473" s="167"/>
      <c r="N473" s="167"/>
      <c r="O473" s="167"/>
      <c r="P473" s="167"/>
      <c r="Q473" s="167"/>
      <c r="R473" s="167"/>
      <c r="S473" s="167"/>
      <c r="T473" s="167"/>
      <c r="U473" s="167"/>
    </row>
    <row r="474" spans="1:21">
      <c r="A474" s="166"/>
      <c r="B474" s="168"/>
      <c r="C474" s="168"/>
      <c r="D474" s="168"/>
      <c r="E474" s="168"/>
      <c r="F474" s="168"/>
      <c r="G474" s="168"/>
      <c r="H474" s="168"/>
      <c r="I474" s="168"/>
      <c r="J474" s="168"/>
      <c r="K474" s="168"/>
      <c r="L474" s="168"/>
      <c r="M474" s="168"/>
      <c r="N474" s="168"/>
      <c r="O474" s="168"/>
      <c r="P474" s="167"/>
      <c r="Q474" s="167"/>
      <c r="R474" s="167"/>
      <c r="S474" s="167"/>
      <c r="T474" s="167"/>
      <c r="U474" s="167"/>
    </row>
  </sheetData>
  <sheetProtection sheet="1" objects="1" scenarios="1"/>
  <mergeCells count="4">
    <mergeCell ref="B1:B2"/>
    <mergeCell ref="C1:C2"/>
    <mergeCell ref="D1:D2"/>
    <mergeCell ref="A1:A2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K42"/>
  <sheetViews>
    <sheetView workbookViewId="0">
      <selection activeCell="K4" sqref="K4"/>
    </sheetView>
  </sheetViews>
  <sheetFormatPr baseColWidth="10" defaultRowHeight="15" x14ac:dyDescent="0"/>
  <cols>
    <col min="1" max="1" width="22.1640625" customWidth="1"/>
    <col min="7" max="7" width="10.5" customWidth="1"/>
    <col min="8" max="8" width="14.83203125" customWidth="1"/>
  </cols>
  <sheetData>
    <row r="1" spans="1:11">
      <c r="A1" s="205" t="s">
        <v>85</v>
      </c>
      <c r="B1" s="205"/>
      <c r="C1" s="205"/>
      <c r="D1" s="205"/>
      <c r="E1" s="206"/>
      <c r="G1" s="202" t="s">
        <v>80</v>
      </c>
      <c r="H1" s="203"/>
      <c r="I1" s="203"/>
      <c r="J1" s="203"/>
      <c r="K1" s="204"/>
    </row>
    <row r="2" spans="1:11" ht="15" customHeight="1">
      <c r="A2" s="105"/>
      <c r="B2" s="106" t="s">
        <v>64</v>
      </c>
      <c r="C2" s="30" t="s">
        <v>64</v>
      </c>
      <c r="D2" s="200" t="s">
        <v>65</v>
      </c>
      <c r="E2" s="201"/>
      <c r="G2" s="133" t="s">
        <v>81</v>
      </c>
      <c r="H2" s="134" t="s">
        <v>82</v>
      </c>
      <c r="I2" s="134" t="s">
        <v>83</v>
      </c>
      <c r="J2" s="135" t="s">
        <v>87</v>
      </c>
      <c r="K2" s="136" t="s">
        <v>84</v>
      </c>
    </row>
    <row r="3" spans="1:11" ht="18">
      <c r="A3" s="107" t="s">
        <v>27</v>
      </c>
      <c r="B3" s="108">
        <v>4.9056603773584904</v>
      </c>
      <c r="C3" s="21">
        <v>4.8256603773584903</v>
      </c>
      <c r="D3" s="22" t="e">
        <f>ABS(Statistics!I11-Statistics!J11)</f>
        <v>#VALUE!</v>
      </c>
      <c r="E3" s="23" t="e">
        <f>ABS(Statistics!I11-Statistics!K11)</f>
        <v>#VALUE!</v>
      </c>
      <c r="G3" s="125">
        <v>1</v>
      </c>
      <c r="H3" s="126" t="e">
        <f t="array" ref="H3">INDEX(regions,MATCH(SMALL(one_tailed+ROW(one_tailed)/100000000,ROW(A1)),one_tailed+ROW(one_tailed)/100000000,0))</f>
        <v>#VALUE!</v>
      </c>
      <c r="I3" s="127" t="e">
        <f t="array" ref="I3">SMALL(one_tailed+ROW(one_tailed)/100000000,ROW(A1))</f>
        <v>#VALUE!</v>
      </c>
      <c r="J3" s="127" t="str">
        <f t="array" ref="J3">IF(ISBLANK(O_volumes)=TRUE,"",(G3/(COUNTIF($I$3:$I$27,"&gt;0")))*0.05)</f>
        <v/>
      </c>
      <c r="K3" s="128" t="str">
        <f t="array" ref="K3">IF(ISBLANK(O_volumes)=TRUE,"",IF(I3&lt;J3,"*","NS"))</f>
        <v/>
      </c>
    </row>
    <row r="4" spans="1:11" ht="18">
      <c r="A4" s="109" t="s">
        <v>28</v>
      </c>
      <c r="B4" s="110">
        <v>4.716981132075472</v>
      </c>
      <c r="C4" s="24">
        <v>4.6369811320754719</v>
      </c>
      <c r="D4" s="25" t="e">
        <f>ABS(Statistics!I12-Statistics!J12)</f>
        <v>#VALUE!</v>
      </c>
      <c r="E4" s="26" t="e">
        <f>ABS(Statistics!I12-Statistics!K12)</f>
        <v>#VALUE!</v>
      </c>
      <c r="G4" s="125">
        <v>2</v>
      </c>
      <c r="H4" s="126" t="e">
        <f t="array" ref="H4">INDEX(regions,MATCH(SMALL(one_tailed+ROW(one_tailed)/100000000,ROW(A2)),one_tailed+ROW(one_tailed)/100000000,0))</f>
        <v>#VALUE!</v>
      </c>
      <c r="I4" s="127" t="e">
        <f t="array" ref="I4">SMALL(one_tailed+ROW(one_tailed)/100000000,ROW(A2))</f>
        <v>#VALUE!</v>
      </c>
      <c r="J4" s="127" t="str">
        <f t="array" ref="J4">IF(ISBLANK(O_volumes)=TRUE,"",(G4/(COUNTIF($I$3:$I$27,"&gt;0")))*0.05)</f>
        <v/>
      </c>
      <c r="K4" s="128" t="str">
        <f t="array" ref="K4">IF(ISBLANK(O_volumes)=TRUE,"",IF(I4&lt;J4,"*","NS"))</f>
        <v/>
      </c>
    </row>
    <row r="5" spans="1:11" ht="18">
      <c r="A5" s="111" t="s">
        <v>5</v>
      </c>
      <c r="B5" s="110">
        <v>4.5283018867924527</v>
      </c>
      <c r="C5" s="24">
        <v>4.4483018867924526</v>
      </c>
      <c r="D5" s="25" t="e">
        <f>ABS(Statistics!I13-Statistics!J13)</f>
        <v>#VALUE!</v>
      </c>
      <c r="E5" s="26" t="e">
        <f>ABS(Statistics!I13-Statistics!K13)</f>
        <v>#VALUE!</v>
      </c>
      <c r="G5" s="125">
        <v>3</v>
      </c>
      <c r="H5" s="126" t="e">
        <f t="array" ref="H5">INDEX(regions,MATCH(SMALL(one_tailed+ROW(one_tailed)/100000000,ROW(A3)),one_tailed+ROW(one_tailed)/100000000,0))</f>
        <v>#VALUE!</v>
      </c>
      <c r="I5" s="127" t="e">
        <f t="array" ref="I5">SMALL(one_tailed+ROW(one_tailed)/100000000,ROW(A3))</f>
        <v>#VALUE!</v>
      </c>
      <c r="J5" s="127" t="str">
        <f t="array" ref="J5">IF(ISBLANK(O_volumes)=TRUE,"",(G5/(COUNTIF($I$3:$I$27,"&gt;0")))*0.05)</f>
        <v/>
      </c>
      <c r="K5" s="128" t="str">
        <f t="array" ref="K5">IF(ISBLANK(O_volumes)=TRUE,"",IF(I5&lt;J5,"*","NS"))</f>
        <v/>
      </c>
    </row>
    <row r="6" spans="1:11" ht="18">
      <c r="A6" s="111" t="s">
        <v>6</v>
      </c>
      <c r="B6" s="110">
        <v>4.3396226415094343</v>
      </c>
      <c r="C6" s="24">
        <v>4.2596226415094343</v>
      </c>
      <c r="D6" s="25" t="e">
        <f>ABS(Statistics!I14-Statistics!J14)</f>
        <v>#VALUE!</v>
      </c>
      <c r="E6" s="26" t="e">
        <f>ABS(Statistics!I14-Statistics!K14)</f>
        <v>#VALUE!</v>
      </c>
      <c r="G6" s="125">
        <v>4</v>
      </c>
      <c r="H6" s="126" t="e">
        <f t="array" ref="H6">INDEX(regions,MATCH(SMALL(one_tailed+ROW(one_tailed)/100000000,ROW(A4)),one_tailed+ROW(one_tailed)/100000000,0))</f>
        <v>#VALUE!</v>
      </c>
      <c r="I6" s="127" t="e">
        <f t="array" ref="I6">SMALL(one_tailed+ROW(one_tailed)/100000000,ROW(A4))</f>
        <v>#VALUE!</v>
      </c>
      <c r="J6" s="127" t="str">
        <f t="array" ref="J6">IF(ISBLANK(O_volumes)=TRUE,"",(G6/(COUNTIF($I$3:$I$27,"&gt;0")))*0.05)</f>
        <v/>
      </c>
      <c r="K6" s="128" t="str">
        <f t="array" ref="K6">IF(ISBLANK(O_volumes)=TRUE,"",IF(I6&lt;J6,"*","NS"))</f>
        <v/>
      </c>
    </row>
    <row r="7" spans="1:11" ht="18">
      <c r="A7" s="111" t="s">
        <v>7</v>
      </c>
      <c r="B7" s="110">
        <v>4.1509433962264151</v>
      </c>
      <c r="C7" s="24">
        <v>4.070943396226415</v>
      </c>
      <c r="D7" s="25" t="e">
        <f>ABS(Statistics!I15-Statistics!J15)</f>
        <v>#VALUE!</v>
      </c>
      <c r="E7" s="26" t="e">
        <f>ABS(Statistics!I15-Statistics!K15)</f>
        <v>#VALUE!</v>
      </c>
      <c r="G7" s="125">
        <v>5</v>
      </c>
      <c r="H7" s="126" t="e">
        <f t="array" ref="H7">INDEX(regions,MATCH(SMALL(one_tailed+ROW(one_tailed)/100000000,ROW(A5)),one_tailed+ROW(one_tailed)/100000000,0))</f>
        <v>#VALUE!</v>
      </c>
      <c r="I7" s="127" t="e">
        <f t="array" ref="I7">SMALL(one_tailed+ROW(one_tailed)/100000000,ROW(A5))</f>
        <v>#VALUE!</v>
      </c>
      <c r="J7" s="127" t="str">
        <f t="array" ref="J7">IF(ISBLANK(O_volumes)=TRUE,"",(G7/(COUNTIF($I$3:$I$27,"&gt;0")))*0.05)</f>
        <v/>
      </c>
      <c r="K7" s="128" t="str">
        <f t="array" ref="K7">IF(ISBLANK(O_volumes)=TRUE,"",IF(I7&lt;J7,"*","NS"))</f>
        <v/>
      </c>
    </row>
    <row r="8" spans="1:11" ht="18">
      <c r="A8" s="111" t="s">
        <v>8</v>
      </c>
      <c r="B8" s="110">
        <v>3.9622641509433962</v>
      </c>
      <c r="C8" s="24">
        <v>3.8822641509433962</v>
      </c>
      <c r="D8" s="25" t="e">
        <f>ABS(Statistics!I16-Statistics!J16)</f>
        <v>#VALUE!</v>
      </c>
      <c r="E8" s="26" t="e">
        <f>ABS(Statistics!I16-Statistics!K16)</f>
        <v>#VALUE!</v>
      </c>
      <c r="G8" s="125">
        <v>6</v>
      </c>
      <c r="H8" s="126" t="e">
        <f t="array" ref="H8">INDEX(regions,MATCH(SMALL(one_tailed+ROW(one_tailed)/100000000,ROW(A6)),one_tailed+ROW(one_tailed)/100000000,0))</f>
        <v>#VALUE!</v>
      </c>
      <c r="I8" s="127" t="e">
        <f t="array" ref="I8">SMALL(one_tailed+ROW(one_tailed)/100000000,ROW(A6))</f>
        <v>#VALUE!</v>
      </c>
      <c r="J8" s="127" t="str">
        <f t="array" ref="J8">IF(ISBLANK(O_volumes)=TRUE,"",(G8/(COUNTIF($I$3:$I$27,"&gt;0")))*0.05)</f>
        <v/>
      </c>
      <c r="K8" s="128" t="str">
        <f t="array" ref="K8">IF(ISBLANK(O_volumes)=TRUE,"",IF(I8&lt;J8,"*","NS"))</f>
        <v/>
      </c>
    </row>
    <row r="9" spans="1:11" ht="18">
      <c r="A9" s="111" t="s">
        <v>9</v>
      </c>
      <c r="B9" s="110">
        <v>3.7735849056603774</v>
      </c>
      <c r="C9" s="24">
        <v>3.6935849056603773</v>
      </c>
      <c r="D9" s="25" t="e">
        <f>ABS(Statistics!I17-Statistics!J17)</f>
        <v>#VALUE!</v>
      </c>
      <c r="E9" s="26" t="e">
        <f>ABS(Statistics!I17-Statistics!K17)</f>
        <v>#VALUE!</v>
      </c>
      <c r="G9" s="125">
        <v>7</v>
      </c>
      <c r="H9" s="126" t="e">
        <f t="array" ref="H9">INDEX(regions,MATCH(SMALL(one_tailed+ROW(one_tailed)/100000000,ROW(A7)),one_tailed+ROW(one_tailed)/100000000,0))</f>
        <v>#VALUE!</v>
      </c>
      <c r="I9" s="127" t="e">
        <f t="array" ref="I9">SMALL(one_tailed+ROW(one_tailed)/100000000,ROW(A7))</f>
        <v>#VALUE!</v>
      </c>
      <c r="J9" s="127" t="str">
        <f t="array" ref="J9">IF(ISBLANK(O_volumes)=TRUE,"",(G9/(COUNTIF($I$3:$I$27,"&gt;0")))*0.05)</f>
        <v/>
      </c>
      <c r="K9" s="128" t="str">
        <f t="array" ref="K9">IF(ISBLANK(O_volumes)=TRUE,"",IF(I9&lt;J9,"*","NS"))</f>
        <v/>
      </c>
    </row>
    <row r="10" spans="1:11" ht="18">
      <c r="A10" s="111" t="s">
        <v>11</v>
      </c>
      <c r="B10" s="110">
        <v>3.5849056603773586</v>
      </c>
      <c r="C10" s="24">
        <v>3.5049056603773585</v>
      </c>
      <c r="D10" s="25" t="e">
        <f>ABS(Statistics!I18-Statistics!J18)</f>
        <v>#VALUE!</v>
      </c>
      <c r="E10" s="26" t="e">
        <f>ABS(Statistics!I18-Statistics!K18)</f>
        <v>#VALUE!</v>
      </c>
      <c r="G10" s="125">
        <v>8</v>
      </c>
      <c r="H10" s="126" t="e">
        <f t="array" ref="H10">INDEX(regions,MATCH(SMALL(one_tailed+ROW(one_tailed)/100000000,ROW(A8)),one_tailed+ROW(one_tailed)/100000000,0))</f>
        <v>#VALUE!</v>
      </c>
      <c r="I10" s="127" t="e">
        <f t="array" ref="I10">SMALL(one_tailed+ROW(one_tailed)/100000000,ROW(A8))</f>
        <v>#VALUE!</v>
      </c>
      <c r="J10" s="127" t="str">
        <f t="array" ref="J10">IF(ISBLANK(O_volumes)=TRUE,"",(G10/(COUNTIF($I$3:$I$27,"&gt;0")))*0.05)</f>
        <v/>
      </c>
      <c r="K10" s="128" t="str">
        <f t="array" ref="K10">IF(ISBLANK(O_volumes)=TRUE,"",IF(I10&lt;J10,"*","NS"))</f>
        <v/>
      </c>
    </row>
    <row r="11" spans="1:11" ht="18">
      <c r="A11" s="111" t="s">
        <v>12</v>
      </c>
      <c r="B11" s="110">
        <v>3.3962264150943398</v>
      </c>
      <c r="C11" s="24">
        <v>3.3162264150943397</v>
      </c>
      <c r="D11" s="25" t="e">
        <f>ABS(Statistics!I19-Statistics!J19)</f>
        <v>#VALUE!</v>
      </c>
      <c r="E11" s="26" t="e">
        <f>ABS(Statistics!I19-Statistics!K19)</f>
        <v>#VALUE!</v>
      </c>
      <c r="G11" s="125">
        <v>9</v>
      </c>
      <c r="H11" s="126" t="e">
        <f t="array" ref="H11">INDEX(regions,MATCH(SMALL(one_tailed+ROW(one_tailed)/100000000,ROW(A9)),one_tailed+ROW(one_tailed)/100000000,0))</f>
        <v>#VALUE!</v>
      </c>
      <c r="I11" s="127" t="e">
        <f t="array" ref="I11">SMALL(one_tailed+ROW(one_tailed)/100000000,ROW(A9))</f>
        <v>#VALUE!</v>
      </c>
      <c r="J11" s="127" t="str">
        <f t="array" ref="J11">IF(ISBLANK(O_volumes)=TRUE,"",(G11/(COUNTIF($I$3:$I$27,"&gt;0")))*0.05)</f>
        <v/>
      </c>
      <c r="K11" s="128" t="str">
        <f t="array" ref="K11">IF(ISBLANK(O_volumes)=TRUE,"",IF(I11&lt;J11,"*","NS"))</f>
        <v/>
      </c>
    </row>
    <row r="12" spans="1:11" ht="18">
      <c r="A12" s="111" t="s">
        <v>29</v>
      </c>
      <c r="B12" s="110">
        <v>3.2075471698113209</v>
      </c>
      <c r="C12" s="24">
        <v>3.1275471698113209</v>
      </c>
      <c r="D12" s="25" t="e">
        <f>ABS(Statistics!I20-Statistics!J20)</f>
        <v>#VALUE!</v>
      </c>
      <c r="E12" s="26" t="e">
        <f>ABS(Statistics!I20-Statistics!K20)</f>
        <v>#VALUE!</v>
      </c>
      <c r="G12" s="125">
        <v>10</v>
      </c>
      <c r="H12" s="126" t="e">
        <f t="array" ref="H12">INDEX(regions,MATCH(SMALL(one_tailed+ROW(one_tailed)/100000000,ROW(A10)),one_tailed+ROW(one_tailed)/100000000,0))</f>
        <v>#VALUE!</v>
      </c>
      <c r="I12" s="127" t="e">
        <f t="array" ref="I12">SMALL(one_tailed+ROW(one_tailed)/100000000,ROW(A10))</f>
        <v>#VALUE!</v>
      </c>
      <c r="J12" s="127" t="str">
        <f t="array" ref="J12">IF(ISBLANK(O_volumes)=TRUE,"",(G12/(COUNTIF($I$3:$I$27,"&gt;0")))*0.05)</f>
        <v/>
      </c>
      <c r="K12" s="128" t="str">
        <f t="array" ref="K12">IF(ISBLANK(O_volumes)=TRUE,"",IF(I12&lt;J12,"*","NS"))</f>
        <v/>
      </c>
    </row>
    <row r="13" spans="1:11" ht="18">
      <c r="A13" s="111" t="s">
        <v>30</v>
      </c>
      <c r="B13" s="110">
        <v>3.0188679245283021</v>
      </c>
      <c r="C13" s="24">
        <v>2.938867924528302</v>
      </c>
      <c r="D13" s="25" t="e">
        <f>ABS(Statistics!I21-Statistics!J21)</f>
        <v>#VALUE!</v>
      </c>
      <c r="E13" s="26" t="e">
        <f>ABS(Statistics!I21-Statistics!K21)</f>
        <v>#VALUE!</v>
      </c>
      <c r="G13" s="125">
        <v>11</v>
      </c>
      <c r="H13" s="126" t="e">
        <f t="array" ref="H13">INDEX(regions,MATCH(SMALL(one_tailed+ROW(one_tailed)/100000000,ROW(A11)),one_tailed+ROW(one_tailed)/100000000,0))</f>
        <v>#VALUE!</v>
      </c>
      <c r="I13" s="127" t="e">
        <f t="array" ref="I13">SMALL(one_tailed+ROW(one_tailed)/100000000,ROW(A11))</f>
        <v>#VALUE!</v>
      </c>
      <c r="J13" s="127" t="str">
        <f t="array" ref="J13">IF(ISBLANK(O_volumes)=TRUE,"",(G13/(COUNTIF($I$3:$I$27,"&gt;0")))*0.05)</f>
        <v/>
      </c>
      <c r="K13" s="128" t="str">
        <f t="array" ref="K13">IF(ISBLANK(O_volumes)=TRUE,"",IF(I13&lt;J13,"*","NS"))</f>
        <v/>
      </c>
    </row>
    <row r="14" spans="1:11" ht="18">
      <c r="A14" s="111" t="s">
        <v>13</v>
      </c>
      <c r="B14" s="110">
        <v>2.8301886792452833</v>
      </c>
      <c r="C14" s="24">
        <v>2.7501886792452832</v>
      </c>
      <c r="D14" s="25" t="e">
        <f>ABS(Statistics!I22-Statistics!J22)</f>
        <v>#VALUE!</v>
      </c>
      <c r="E14" s="26" t="e">
        <f>ABS(Statistics!I22-Statistics!K22)</f>
        <v>#VALUE!</v>
      </c>
      <c r="G14" s="125">
        <v>12</v>
      </c>
      <c r="H14" s="126" t="e">
        <f t="array" ref="H14">INDEX(regions,MATCH(SMALL(one_tailed+ROW(one_tailed)/100000000,ROW(A12)),one_tailed+ROW(one_tailed)/100000000,0))</f>
        <v>#VALUE!</v>
      </c>
      <c r="I14" s="127" t="e">
        <f t="array" ref="I14">SMALL(one_tailed+ROW(one_tailed)/100000000,ROW(A12))</f>
        <v>#VALUE!</v>
      </c>
      <c r="J14" s="127" t="str">
        <f t="array" ref="J14">IF(ISBLANK(O_volumes)=TRUE,"",(G14/(COUNTIF($I$3:$I$27,"&gt;0")))*0.05)</f>
        <v/>
      </c>
      <c r="K14" s="128" t="str">
        <f t="array" ref="K14">IF(ISBLANK(O_volumes)=TRUE,"",IF(I14&lt;J14,"*","NS"))</f>
        <v/>
      </c>
    </row>
    <row r="15" spans="1:11" ht="18">
      <c r="A15" s="111" t="s">
        <v>14</v>
      </c>
      <c r="B15" s="110">
        <v>2.6415094339622645</v>
      </c>
      <c r="C15" s="24">
        <v>2.5615094339622644</v>
      </c>
      <c r="D15" s="25" t="e">
        <f>ABS(Statistics!I23-Statistics!J23)</f>
        <v>#VALUE!</v>
      </c>
      <c r="E15" s="26" t="e">
        <f>ABS(Statistics!I23-Statistics!K23)</f>
        <v>#VALUE!</v>
      </c>
      <c r="G15" s="125">
        <v>13</v>
      </c>
      <c r="H15" s="126" t="e">
        <f t="array" ref="H15">INDEX(regions,MATCH(SMALL(one_tailed+ROW(one_tailed)/100000000,ROW(A13)),one_tailed+ROW(one_tailed)/100000000,0))</f>
        <v>#VALUE!</v>
      </c>
      <c r="I15" s="127" t="e">
        <f t="array" ref="I15">SMALL(one_tailed+ROW(one_tailed)/100000000,ROW(A13))</f>
        <v>#VALUE!</v>
      </c>
      <c r="J15" s="127" t="str">
        <f t="array" ref="J15">IF(ISBLANK(O_volumes)=TRUE,"",(G15/(COUNTIF($I$3:$I$27,"&gt;0")))*0.05)</f>
        <v/>
      </c>
      <c r="K15" s="128" t="str">
        <f t="array" ref="K15">IF(ISBLANK(O_volumes)=TRUE,"",IF(I15&lt;J15,"*","NS"))</f>
        <v/>
      </c>
    </row>
    <row r="16" spans="1:11" ht="18">
      <c r="A16" s="111" t="s">
        <v>15</v>
      </c>
      <c r="B16" s="110">
        <v>2.4528301886792452</v>
      </c>
      <c r="C16" s="24">
        <v>2.3728301886792451</v>
      </c>
      <c r="D16" s="25" t="e">
        <f>ABS(Statistics!I24-Statistics!J24)</f>
        <v>#VALUE!</v>
      </c>
      <c r="E16" s="26" t="e">
        <f>ABS(Statistics!I24-Statistics!K24)</f>
        <v>#VALUE!</v>
      </c>
      <c r="G16" s="125">
        <v>14</v>
      </c>
      <c r="H16" s="126" t="e">
        <f t="array" ref="H16">INDEX(regions,MATCH(SMALL(one_tailed+ROW(one_tailed)/100000000,ROW(A14)),one_tailed+ROW(one_tailed)/100000000,0))</f>
        <v>#VALUE!</v>
      </c>
      <c r="I16" s="127" t="e">
        <f t="array" ref="I16">SMALL(one_tailed+ROW(one_tailed)/100000000,ROW(A14))</f>
        <v>#VALUE!</v>
      </c>
      <c r="J16" s="127" t="str">
        <f t="array" ref="J16">IF(ISBLANK(O_volumes)=TRUE,"",(G16/(COUNTIF($I$3:$I$27,"&gt;0")))*0.05)</f>
        <v/>
      </c>
      <c r="K16" s="128" t="str">
        <f t="array" ref="K16">IF(ISBLANK(O_volumes)=TRUE,"",IF(I16&lt;J16,"*","NS"))</f>
        <v/>
      </c>
    </row>
    <row r="17" spans="1:11" ht="18">
      <c r="A17" s="111" t="s">
        <v>16</v>
      </c>
      <c r="B17" s="110">
        <v>2.2641509433962264</v>
      </c>
      <c r="C17" s="24">
        <v>2.1841509433962263</v>
      </c>
      <c r="D17" s="25" t="e">
        <f>ABS(Statistics!I25-Statistics!J25)</f>
        <v>#VALUE!</v>
      </c>
      <c r="E17" s="26" t="e">
        <f>ABS(Statistics!I25-Statistics!K25)</f>
        <v>#VALUE!</v>
      </c>
      <c r="G17" s="125">
        <v>15</v>
      </c>
      <c r="H17" s="126" t="e">
        <f t="array" ref="H17">INDEX(regions,MATCH(SMALL(one_tailed+ROW(one_tailed)/100000000,ROW(A15)),one_tailed+ROW(one_tailed)/100000000,0))</f>
        <v>#VALUE!</v>
      </c>
      <c r="I17" s="127" t="e">
        <f t="array" ref="I17">SMALL(one_tailed+ROW(one_tailed)/100000000,ROW(A15))</f>
        <v>#VALUE!</v>
      </c>
      <c r="J17" s="127" t="str">
        <f t="array" ref="J17">IF(ISBLANK(O_volumes)=TRUE,"",(G17/(COUNTIF($I$3:$I$27,"&gt;0")))*0.05)</f>
        <v/>
      </c>
      <c r="K17" s="128" t="str">
        <f t="array" ref="K17">IF(ISBLANK(O_volumes)=TRUE,"",IF(I17&lt;J17,"*","NS"))</f>
        <v/>
      </c>
    </row>
    <row r="18" spans="1:11" ht="18">
      <c r="A18" s="111" t="s">
        <v>17</v>
      </c>
      <c r="B18" s="110">
        <v>2.0754716981132075</v>
      </c>
      <c r="C18" s="24">
        <v>1.9954716981132075</v>
      </c>
      <c r="D18" s="25" t="e">
        <f>ABS(Statistics!I26-Statistics!J26)</f>
        <v>#VALUE!</v>
      </c>
      <c r="E18" s="26" t="e">
        <f>ABS(Statistics!I26-Statistics!K26)</f>
        <v>#VALUE!</v>
      </c>
      <c r="G18" s="125">
        <v>16</v>
      </c>
      <c r="H18" s="126" t="e">
        <f t="array" ref="H18">INDEX(regions,MATCH(SMALL(one_tailed+ROW(one_tailed)/100000000,ROW(A16)),one_tailed+ROW(one_tailed)/100000000,0))</f>
        <v>#VALUE!</v>
      </c>
      <c r="I18" s="127" t="e">
        <f t="array" ref="I18">SMALL(one_tailed+ROW(one_tailed)/100000000,ROW(A16))</f>
        <v>#VALUE!</v>
      </c>
      <c r="J18" s="127" t="str">
        <f t="array" ref="J18">IF(ISBLANK(O_volumes)=TRUE,"",(G18/(COUNTIF($I$3:$I$27,"&gt;0")))*0.05)</f>
        <v/>
      </c>
      <c r="K18" s="128" t="str">
        <f t="array" ref="K18">IF(ISBLANK(O_volumes)=TRUE,"",IF(I18&lt;J18,"*","NS"))</f>
        <v/>
      </c>
    </row>
    <row r="19" spans="1:11" ht="18">
      <c r="A19" s="111" t="s">
        <v>18</v>
      </c>
      <c r="B19" s="110">
        <v>1.8867924528301887</v>
      </c>
      <c r="C19" s="24">
        <v>1.8067924528301886</v>
      </c>
      <c r="D19" s="25" t="e">
        <f>ABS(Statistics!I27-Statistics!J27)</f>
        <v>#VALUE!</v>
      </c>
      <c r="E19" s="26" t="e">
        <f>ABS(Statistics!I27-Statistics!K27)</f>
        <v>#VALUE!</v>
      </c>
      <c r="G19" s="125">
        <v>17</v>
      </c>
      <c r="H19" s="126" t="e">
        <f t="array" ref="H19">INDEX(regions,MATCH(SMALL(one_tailed+ROW(one_tailed)/100000000,ROW(A17)),one_tailed+ROW(one_tailed)/100000000,0))</f>
        <v>#VALUE!</v>
      </c>
      <c r="I19" s="127" t="e">
        <f t="array" ref="I19">SMALL(one_tailed+ROW(one_tailed)/100000000,ROW(A17))</f>
        <v>#VALUE!</v>
      </c>
      <c r="J19" s="127" t="str">
        <f t="array" ref="J19">IF(ISBLANK(O_volumes)=TRUE,"",(G19/(COUNTIF($I$3:$I$27,"&gt;0")))*0.05)</f>
        <v/>
      </c>
      <c r="K19" s="128" t="str">
        <f t="array" ref="K19">IF(ISBLANK(O_volumes)=TRUE,"",IF(I19&lt;J19,"*","NS"))</f>
        <v/>
      </c>
    </row>
    <row r="20" spans="1:11" ht="18">
      <c r="A20" s="111" t="s">
        <v>19</v>
      </c>
      <c r="B20" s="110">
        <v>1.6981132075471699</v>
      </c>
      <c r="C20" s="24">
        <v>1.6181132075471698</v>
      </c>
      <c r="D20" s="25" t="e">
        <f>ABS(Statistics!I28-Statistics!J28)</f>
        <v>#VALUE!</v>
      </c>
      <c r="E20" s="26" t="e">
        <f>ABS(Statistics!I28-Statistics!K28)</f>
        <v>#VALUE!</v>
      </c>
      <c r="G20" s="125">
        <v>18</v>
      </c>
      <c r="H20" s="126" t="e">
        <f t="array" ref="H20">INDEX(regions,MATCH(SMALL(one_tailed+ROW(one_tailed)/100000000,ROW(A18)),one_tailed+ROW(one_tailed)/100000000,0))</f>
        <v>#VALUE!</v>
      </c>
      <c r="I20" s="127" t="e">
        <f t="array" ref="I20">SMALL(one_tailed+ROW(one_tailed)/100000000,ROW(A18))</f>
        <v>#VALUE!</v>
      </c>
      <c r="J20" s="127" t="str">
        <f t="array" ref="J20">IF(ISBLANK(O_volumes)=TRUE,"",(G20/(COUNTIF($I$3:$I$27,"&gt;0")))*0.05)</f>
        <v/>
      </c>
      <c r="K20" s="128" t="str">
        <f t="array" ref="K20">IF(ISBLANK(O_volumes)=TRUE,"",IF(I20&lt;J20,"*","NS"))</f>
        <v/>
      </c>
    </row>
    <row r="21" spans="1:11" ht="18">
      <c r="A21" s="112" t="s">
        <v>20</v>
      </c>
      <c r="B21" s="110">
        <v>1.5094339622641511</v>
      </c>
      <c r="C21" s="24">
        <v>1.429433962264151</v>
      </c>
      <c r="D21" s="25" t="e">
        <f>ABS(Statistics!I29-Statistics!J29)</f>
        <v>#VALUE!</v>
      </c>
      <c r="E21" s="26" t="e">
        <f>ABS(Statistics!I29-Statistics!K29)</f>
        <v>#VALUE!</v>
      </c>
      <c r="G21" s="125">
        <v>19</v>
      </c>
      <c r="H21" s="126" t="e">
        <f t="array" ref="H21">INDEX(regions,MATCH(SMALL(one_tailed+ROW(one_tailed)/100000000,ROW(A19)),one_tailed+ROW(one_tailed)/100000000,0))</f>
        <v>#VALUE!</v>
      </c>
      <c r="I21" s="127" t="e">
        <f t="array" ref="I21">SMALL(one_tailed+ROW(one_tailed)/100000000,ROW(A19))</f>
        <v>#VALUE!</v>
      </c>
      <c r="J21" s="127" t="str">
        <f t="array" ref="J21">IF(ISBLANK(O_volumes)=TRUE,"",(G21/(COUNTIF($I$3:$I$27,"&gt;0")))*0.05)</f>
        <v/>
      </c>
      <c r="K21" s="128" t="str">
        <f t="array" ref="K21">IF(ISBLANK(O_volumes)=TRUE,"",IF(I21&lt;J21,"*","NS"))</f>
        <v/>
      </c>
    </row>
    <row r="22" spans="1:11" ht="18">
      <c r="A22" s="112" t="s">
        <v>21</v>
      </c>
      <c r="B22" s="110">
        <v>1.3207547169811322</v>
      </c>
      <c r="C22" s="24">
        <v>1.2407547169811322</v>
      </c>
      <c r="D22" s="25" t="e">
        <f>ABS(Statistics!I30-Statistics!J30)</f>
        <v>#VALUE!</v>
      </c>
      <c r="E22" s="26" t="e">
        <f>ABS(Statistics!I30-Statistics!K30)</f>
        <v>#VALUE!</v>
      </c>
      <c r="G22" s="125">
        <v>20</v>
      </c>
      <c r="H22" s="126" t="e">
        <f t="array" ref="H22">INDEX(regions,MATCH(SMALL(one_tailed+ROW(one_tailed)/100000000,ROW(A20)),one_tailed+ROW(one_tailed)/100000000,0))</f>
        <v>#VALUE!</v>
      </c>
      <c r="I22" s="127" t="e">
        <f t="array" ref="I22">SMALL(one_tailed+ROW(one_tailed)/100000000,ROW(A20))</f>
        <v>#VALUE!</v>
      </c>
      <c r="J22" s="127" t="str">
        <f t="array" ref="J22">IF(ISBLANK(O_volumes)=TRUE,"",(G22/(COUNTIF($I$3:$I$27,"&gt;0")))*0.05)</f>
        <v/>
      </c>
      <c r="K22" s="128" t="str">
        <f t="array" ref="K22">IF(ISBLANK(O_volumes)=TRUE,"",IF(I22&lt;J22,"*","NS"))</f>
        <v/>
      </c>
    </row>
    <row r="23" spans="1:11" ht="18">
      <c r="A23" s="112" t="s">
        <v>22</v>
      </c>
      <c r="B23" s="110">
        <v>1.1320754716981132</v>
      </c>
      <c r="C23" s="24">
        <v>1.0520754716981131</v>
      </c>
      <c r="D23" s="25" t="e">
        <f>ABS(Statistics!I31-Statistics!J31)</f>
        <v>#VALUE!</v>
      </c>
      <c r="E23" s="26" t="e">
        <f>ABS(Statistics!I31-Statistics!K31)</f>
        <v>#VALUE!</v>
      </c>
      <c r="G23" s="125">
        <v>21</v>
      </c>
      <c r="H23" s="126" t="e">
        <f t="array" ref="H23">INDEX(regions,MATCH(SMALL(one_tailed+ROW(one_tailed)/100000000,ROW(A21)),one_tailed+ROW(one_tailed)/100000000,0))</f>
        <v>#VALUE!</v>
      </c>
      <c r="I23" s="127" t="e">
        <f t="array" ref="I23">SMALL(one_tailed+ROW(one_tailed)/100000000,ROW(A21))</f>
        <v>#VALUE!</v>
      </c>
      <c r="J23" s="127" t="str">
        <f t="array" ref="J23">IF(ISBLANK(O_volumes)=TRUE,"",(G23/(COUNTIF($I$3:$I$27,"&gt;0")))*0.05)</f>
        <v/>
      </c>
      <c r="K23" s="128" t="str">
        <f t="array" ref="K23">IF(ISBLANK(O_volumes)=TRUE,"",IF(I23&lt;J23,"*","NS"))</f>
        <v/>
      </c>
    </row>
    <row r="24" spans="1:11" ht="18">
      <c r="A24" s="112" t="s">
        <v>23</v>
      </c>
      <c r="B24" s="110">
        <v>0.94339622641509435</v>
      </c>
      <c r="C24" s="24">
        <v>0.86339622641509439</v>
      </c>
      <c r="D24" s="25" t="e">
        <f>ABS(Statistics!I32-Statistics!J32)</f>
        <v>#VALUE!</v>
      </c>
      <c r="E24" s="26" t="e">
        <f>ABS(Statistics!I32-Statistics!K32)</f>
        <v>#VALUE!</v>
      </c>
      <c r="G24" s="125">
        <v>22</v>
      </c>
      <c r="H24" s="126" t="e">
        <f t="array" ref="H24">INDEX(regions,MATCH(SMALL(one_tailed+ROW(one_tailed)/100000000,ROW(A22)),one_tailed+ROW(one_tailed)/100000000,0))</f>
        <v>#VALUE!</v>
      </c>
      <c r="I24" s="127" t="e">
        <f t="array" ref="I24">SMALL(one_tailed+ROW(one_tailed)/100000000,ROW(A22))</f>
        <v>#VALUE!</v>
      </c>
      <c r="J24" s="127" t="str">
        <f t="array" ref="J24">IF(ISBLANK(O_volumes)=TRUE,"",(G24/(COUNTIF($I$3:$I$27,"&gt;0")))*0.05)</f>
        <v/>
      </c>
      <c r="K24" s="128" t="str">
        <f t="array" ref="K24">IF(ISBLANK(O_volumes)=TRUE,"",IF(I24&lt;J24,"*","NS"))</f>
        <v/>
      </c>
    </row>
    <row r="25" spans="1:11" ht="18">
      <c r="A25" s="112" t="s">
        <v>24</v>
      </c>
      <c r="B25" s="110">
        <v>0.75471698113207553</v>
      </c>
      <c r="C25" s="24">
        <v>0.67471698113207557</v>
      </c>
      <c r="D25" s="25" t="e">
        <f>ABS(Statistics!I33-Statistics!J33)</f>
        <v>#VALUE!</v>
      </c>
      <c r="E25" s="26" t="e">
        <f>ABS(Statistics!I33-Statistics!K33)</f>
        <v>#VALUE!</v>
      </c>
      <c r="G25" s="125">
        <v>23</v>
      </c>
      <c r="H25" s="126" t="e">
        <f t="array" ref="H25">INDEX(regions,MATCH(SMALL(one_tailed+ROW(one_tailed)/100000000,ROW(A23)),one_tailed+ROW(one_tailed)/100000000,0))</f>
        <v>#VALUE!</v>
      </c>
      <c r="I25" s="127" t="e">
        <f t="array" ref="I25">SMALL(one_tailed+ROW(one_tailed)/100000000,ROW(A23))</f>
        <v>#VALUE!</v>
      </c>
      <c r="J25" s="127" t="str">
        <f t="array" ref="J25">IF(ISBLANK(O_volumes)=TRUE,"",(G25/(COUNTIF($I$3:$I$27,"&gt;0")))*0.05)</f>
        <v/>
      </c>
      <c r="K25" s="128" t="str">
        <f t="array" ref="K25">IF(ISBLANK(O_volumes)=TRUE,"",IF(I25&lt;J25,"*","NS"))</f>
        <v/>
      </c>
    </row>
    <row r="26" spans="1:11" ht="18">
      <c r="A26" s="112" t="s">
        <v>25</v>
      </c>
      <c r="B26" s="110">
        <v>0.56603773584905659</v>
      </c>
      <c r="C26" s="24">
        <v>0.48603773584905657</v>
      </c>
      <c r="D26" s="25" t="e">
        <f>ABS(Statistics!I34-Statistics!J34)</f>
        <v>#VALUE!</v>
      </c>
      <c r="E26" s="26" t="e">
        <f>ABS(Statistics!I34-Statistics!K34)</f>
        <v>#VALUE!</v>
      </c>
      <c r="G26" s="125">
        <v>24</v>
      </c>
      <c r="H26" s="126" t="e">
        <f t="array" ref="H26">INDEX(regions,MATCH(SMALL(one_tailed+ROW(one_tailed)/100000000,ROW(A24)),one_tailed+ROW(one_tailed)/100000000,0))</f>
        <v>#VALUE!</v>
      </c>
      <c r="I26" s="127" t="e">
        <f t="array" ref="I26">SMALL(one_tailed+ROW(one_tailed)/100000000,ROW(A24))</f>
        <v>#VALUE!</v>
      </c>
      <c r="J26" s="127" t="str">
        <f t="array" ref="J26">IF(ISBLANK(O_volumes)=TRUE,"",(G26/(COUNTIF($I$3:$I$27,"&gt;0")))*0.05)</f>
        <v/>
      </c>
      <c r="K26" s="128" t="str">
        <f t="array" ref="K26">IF(ISBLANK(O_volumes)=TRUE,"",IF(I26&lt;J26,"*","NS"))</f>
        <v/>
      </c>
    </row>
    <row r="27" spans="1:11" ht="18">
      <c r="A27" s="111" t="s">
        <v>10</v>
      </c>
      <c r="B27" s="110">
        <v>0.37735849056603776</v>
      </c>
      <c r="C27" s="24">
        <v>0.29735849056603775</v>
      </c>
      <c r="D27" s="25" t="e">
        <f>ABS(Statistics!I35-Statistics!J35)</f>
        <v>#VALUE!</v>
      </c>
      <c r="E27" s="26" t="e">
        <f>ABS(Statistics!I35-Statistics!K35)</f>
        <v>#VALUE!</v>
      </c>
      <c r="G27" s="125">
        <v>25</v>
      </c>
      <c r="H27" s="126" t="e">
        <f t="array" ref="H27">INDEX(regions,MATCH(SMALL(one_tailed+ROW(one_tailed)/100000000,ROW(A25)),one_tailed+ROW(one_tailed)/100000000,0))</f>
        <v>#VALUE!</v>
      </c>
      <c r="I27" s="127" t="e">
        <f t="array" ref="I27">SMALL(one_tailed+ROW(one_tailed)/100000000,ROW(A25))</f>
        <v>#VALUE!</v>
      </c>
      <c r="J27" s="127" t="str">
        <f t="array" ref="J27">IF(ISBLANK(O_volumes)=TRUE,"",(G27/(COUNTIF($I$3:$I$27,"&gt;0")))*0.05)</f>
        <v/>
      </c>
      <c r="K27" s="128" t="str">
        <f t="array" ref="K27">IF(ISBLANK(O_volumes)=TRUE,"",IF(I27&lt;J27,"*","NS"))</f>
        <v/>
      </c>
    </row>
    <row r="28" spans="1:11" ht="18">
      <c r="A28" s="113" t="s">
        <v>26</v>
      </c>
      <c r="B28" s="114">
        <v>0.18867924528301888</v>
      </c>
      <c r="C28" s="27">
        <v>0.10867924528301888</v>
      </c>
      <c r="D28" s="28" t="e">
        <f>ABS(Statistics!I36-Statistics!J36)</f>
        <v>#VALUE!</v>
      </c>
      <c r="E28" s="29" t="e">
        <f>ABS(Statistics!I36-Statistics!K36)</f>
        <v>#VALUE!</v>
      </c>
      <c r="G28" s="129">
        <v>26</v>
      </c>
      <c r="H28" s="130" t="e">
        <f t="array" ref="H28">INDEX(regions,MATCH(SMALL(one_tailed+ROW(one_tailed)/100000000,ROW(A26)),one_tailed+ROW(one_tailed)/100000000,0))</f>
        <v>#VALUE!</v>
      </c>
      <c r="I28" s="131" t="e">
        <f t="array" ref="I28">SMALL(one_tailed+ROW(one_tailed)/100000000,ROW(A26))</f>
        <v>#VALUE!</v>
      </c>
      <c r="J28" s="131" t="str">
        <f t="array" ref="J28">IF(ISBLANK(O_volumes)=TRUE,"",(G28/(COUNTIF($I$3:$I$27,"&gt;0")))*0.05)</f>
        <v/>
      </c>
      <c r="K28" s="132" t="str">
        <f t="array" ref="K28">IF(ISBLANK(O_volumes)=TRUE,"",IF(I28&lt;J28,"*","NS"))</f>
        <v/>
      </c>
    </row>
    <row r="29" spans="1:11">
      <c r="C29" s="137"/>
    </row>
    <row r="30" spans="1:11">
      <c r="A30" s="198" t="s">
        <v>86</v>
      </c>
      <c r="B30" s="199"/>
    </row>
    <row r="31" spans="1:11">
      <c r="A31" s="115" t="s">
        <v>72</v>
      </c>
      <c r="B31" s="116">
        <v>15.2</v>
      </c>
    </row>
    <row r="32" spans="1:11">
      <c r="A32" s="115" t="s">
        <v>73</v>
      </c>
      <c r="B32" s="116">
        <v>944</v>
      </c>
    </row>
    <row r="33" spans="1:10">
      <c r="A33" s="115" t="s">
        <v>74</v>
      </c>
      <c r="B33" s="116">
        <v>385.1</v>
      </c>
    </row>
    <row r="34" spans="1:10">
      <c r="A34" s="115" t="s">
        <v>75</v>
      </c>
      <c r="B34" s="116">
        <v>366.9</v>
      </c>
    </row>
    <row r="35" spans="1:10">
      <c r="A35" s="115" t="s">
        <v>76</v>
      </c>
      <c r="B35" s="117">
        <v>341.3</v>
      </c>
    </row>
    <row r="36" spans="1:10">
      <c r="A36" s="118" t="s">
        <v>77</v>
      </c>
      <c r="B36" s="119">
        <v>747.7</v>
      </c>
    </row>
    <row r="37" spans="1:10">
      <c r="A37" s="33"/>
      <c r="B37" s="33"/>
    </row>
    <row r="38" spans="1:10">
      <c r="A38" s="33"/>
      <c r="B38" s="33"/>
      <c r="J38" t="s">
        <v>39</v>
      </c>
    </row>
    <row r="39" spans="1:10">
      <c r="A39" s="33"/>
      <c r="B39" s="33"/>
    </row>
    <row r="40" spans="1:10">
      <c r="A40" s="33"/>
      <c r="B40" s="33"/>
    </row>
    <row r="41" spans="1:10">
      <c r="A41" s="33"/>
      <c r="B41" s="33"/>
    </row>
    <row r="42" spans="1:10" ht="16" customHeight="1"/>
  </sheetData>
  <sheetProtection sheet="1" objects="1" scenarios="1"/>
  <mergeCells count="4">
    <mergeCell ref="A30:B30"/>
    <mergeCell ref="D2:E2"/>
    <mergeCell ref="G1:K1"/>
    <mergeCell ref="A1:E1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Statistics</vt:lpstr>
      <vt:lpstr>Matrix</vt:lpstr>
      <vt:lpstr>Other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Olivier Potvin</cp:lastModifiedBy>
  <dcterms:created xsi:type="dcterms:W3CDTF">2015-05-06T19:21:26Z</dcterms:created>
  <dcterms:modified xsi:type="dcterms:W3CDTF">2016-09-21T17:53:31Z</dcterms:modified>
</cp:coreProperties>
</file>